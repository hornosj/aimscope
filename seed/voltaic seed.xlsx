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Novice" sheetId="2" r:id="rId6"/>
    <sheet state="visible" name="Intermediate" sheetId="3" r:id="rId7"/>
    <sheet state="visible" name="Advanced" sheetId="4" r:id="rId8"/>
    <sheet state="visible" name="Average Input" sheetId="5" r:id="rId9"/>
    <sheet state="visible" name="Changelog" sheetId="6" r:id="rId10"/>
  </sheets>
  <definedNames>
    <definedName name="row_filter">#REF!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
      <text>
        <t xml:space="preserve">Copy &amp; Paste this value into the online playlists tab.</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Copy &amp; Paste this value into the online playlists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Copy &amp; Paste this value into the online playlists tab.</t>
      </text>
    </comment>
  </commentList>
</comments>
</file>

<file path=xl/sharedStrings.xml><?xml version="1.0" encoding="utf-8"?>
<sst xmlns="http://schemas.openxmlformats.org/spreadsheetml/2006/main" count="237" uniqueCount="111">
  <si>
    <r>
      <rPr>
        <rFont val="Goldman"/>
        <color rgb="FFFFFFFF"/>
        <sz val="14.0"/>
      </rPr>
      <t xml:space="preserve">VOLTAIC x </t>
    </r>
    <r>
      <rPr>
        <rFont val="Goldman"/>
        <color rgb="FF24DDD8"/>
        <sz val="14.0"/>
      </rPr>
      <t xml:space="preserve">KOVAAKS </t>
    </r>
    <r>
      <rPr>
        <rFont val="Goldman"/>
        <color rgb="FFFFFFFF"/>
        <sz val="14.0"/>
      </rPr>
      <t xml:space="preserve">BENCHMARKS - </t>
    </r>
    <r>
      <rPr>
        <rFont val="Goldman"/>
        <color rgb="FF24DDD8"/>
        <sz val="14.0"/>
      </rPr>
      <t>SEASON 4</t>
    </r>
  </si>
  <si>
    <t xml:space="preserve"> How this sheet works</t>
  </si>
  <si>
    <r>
      <rPr>
        <rFont val="Blinker"/>
        <color theme="1"/>
        <sz val="9.0"/>
      </rPr>
      <t xml:space="preserve"> Edit this sheet by going to </t>
    </r>
    <r>
      <rPr>
        <rFont val="Calibri"/>
        <b/>
        <color theme="1"/>
        <sz val="9.0"/>
      </rPr>
      <t>File → Make a copy</t>
    </r>
    <r>
      <rPr>
        <rFont val="Blinker"/>
        <color theme="1"/>
        <sz val="9.0"/>
      </rPr>
      <t>. If the sheet says it is outdated, simply head over to the resources channel and make a new copy.</t>
    </r>
  </si>
  <si>
    <t xml:space="preserve"> Our benchmarks are divided in 3 levels: Novice, Intermediate and Advanced</t>
  </si>
  <si>
    <t xml:space="preserve"> New players should play the Novice benchmarks</t>
  </si>
  <si>
    <t xml:space="preserve"> Guideline: Aspiring Platinum players are recommended to achieve Gold on Novice to be able to move on to the Intermediate benchmarks</t>
  </si>
  <si>
    <t xml:space="preserve"> Guideline: Aspiring Grandmaster players are recommended to achieve Master on Intermediate to be able to move on to the Advanced benchmarks</t>
  </si>
  <si>
    <t xml:space="preserve"> In order to receive a rank you need to set a score on a scenario from each of the six subcategories (Dynamic, Static, Precise, Reactive, Speed and Evasive)</t>
  </si>
  <si>
    <t xml:space="preserve"> Only your highest score in a subcategory will count towards your rank</t>
  </si>
  <si>
    <r>
      <rPr>
        <rFont val="Blinker"/>
        <color theme="1"/>
        <sz val="9.0"/>
      </rPr>
      <t xml:space="preserve"> Your overall energy is an average of your subcategory energy, with lower scores weighted more heavily (</t>
    </r>
    <r>
      <rPr>
        <rFont val="Blinker"/>
        <color rgb="FF1155CC"/>
        <sz val="9.0"/>
        <u/>
      </rPr>
      <t>harmonic mean</t>
    </r>
    <r>
      <rPr>
        <rFont val="Blinker"/>
        <color theme="1"/>
        <sz val="9.0"/>
      </rPr>
      <t>)</t>
    </r>
  </si>
  <si>
    <t xml:space="preserve"> Pushing your score further to the next rank target awards more energy</t>
  </si>
  <si>
    <t xml:space="preserve"> This allows you to acquire ranks without being equally skilled in each aiming subcategory</t>
  </si>
  <si>
    <t xml:space="preserve"> Complete roles are available starting from Intermediate and above. Strafe scenarios are required for complete roles, but not necessary for the base rank.</t>
  </si>
  <si>
    <t xml:space="preserve"> The chart below shows the  energy required for each rank</t>
  </si>
  <si>
    <t>Difficulty</t>
  </si>
  <si>
    <t>Click to navigate to the Novice Benchmarks</t>
  </si>
  <si>
    <t>Click to navigate to the Intermediate Benchmarks</t>
  </si>
  <si>
    <t>Click to navigate to the Advanced Benchmarks</t>
  </si>
  <si>
    <t>Novice</t>
  </si>
  <si>
    <t>Intermediate</t>
  </si>
  <si>
    <t>Advanced</t>
  </si>
  <si>
    <t>Rank Name</t>
  </si>
  <si>
    <t>Energy Threshold</t>
  </si>
  <si>
    <t>Socials</t>
  </si>
  <si>
    <t>Twitter↗</t>
  </si>
  <si>
    <t>YouTube↗</t>
  </si>
  <si>
    <r>
      <rPr>
        <rFont val="Blinker"/>
        <color rgb="FFFFFFFF"/>
        <sz val="9.0"/>
      </rPr>
      <t xml:space="preserve">Voltaic KvKs </t>
    </r>
    <r>
      <rPr>
        <rFont val="Blinker"/>
        <color rgb="FF37ECA6"/>
        <sz val="9.0"/>
      </rPr>
      <t xml:space="preserve">Novice </t>
    </r>
    <r>
      <rPr>
        <rFont val="Blinker"/>
        <color rgb="FFFFFFFF"/>
        <sz val="9.0"/>
      </rPr>
      <t>Benchmarks S4</t>
    </r>
  </si>
  <si>
    <t>Energy</t>
  </si>
  <si>
    <t xml:space="preserve"> Instructions</t>
  </si>
  <si>
    <t>Scenario</t>
  </si>
  <si>
    <t>High Score</t>
  </si>
  <si>
    <t>Progress</t>
  </si>
  <si>
    <t>Avg Score</t>
  </si>
  <si>
    <t xml:space="preserve"> Meet the energy threshold to obtain your desired rank</t>
  </si>
  <si>
    <t>Clicking</t>
  </si>
  <si>
    <t>Dynamic</t>
  </si>
  <si>
    <t xml:space="preserve"> Each subcategory awards points based on your highest achieved rank threshold</t>
  </si>
  <si>
    <t>Static</t>
  </si>
  <si>
    <t xml:space="preserve"> Only one score from each subcategory counts</t>
  </si>
  <si>
    <t>Tracking</t>
  </si>
  <si>
    <t>Precise</t>
  </si>
  <si>
    <t xml:space="preserve"> All your energy combined defines your final rank</t>
  </si>
  <si>
    <t>Reactive</t>
  </si>
  <si>
    <t xml:space="preserve">  Pushing your score further awards more Energy</t>
  </si>
  <si>
    <t>Switching</t>
  </si>
  <si>
    <t>Speed</t>
  </si>
  <si>
    <t xml:space="preserve"> This allows you to obtain ranks without having to be equally good in each subcategory</t>
  </si>
  <si>
    <t>Evasive</t>
  </si>
  <si>
    <t xml:space="preserve"> Simply search the scenario name in the browser to play the scenarios. Playlists coming soon.</t>
  </si>
  <si>
    <t>Sharecode</t>
  </si>
  <si>
    <t xml:space="preserve"> Troubleshooting</t>
  </si>
  <si>
    <t>KovaaKsClearingPetulantScoutrifle</t>
  </si>
  <si>
    <t xml:space="preserve"> Reload workshop if a scenario doesn't show up in the workshop.</t>
  </si>
  <si>
    <r>
      <rPr>
        <rFont val="Calibri, Arial"/>
        <color rgb="FFFFFFFF"/>
      </rPr>
      <t>Find more resources in</t>
    </r>
    <r>
      <rPr>
        <rFont val="Calibri, Arial"/>
        <color rgb="FF24DDD8"/>
      </rPr>
      <t xml:space="preserve"> </t>
    </r>
    <r>
      <rPr>
        <rFont val="Calibri, Arial"/>
        <color rgb="FF24DDD8"/>
        <u/>
      </rPr>
      <t>discord.gg/voltaic</t>
    </r>
  </si>
  <si>
    <t xml:space="preserve"> Report bugs in the KovaaKs discord.</t>
  </si>
  <si>
    <t xml:space="preserve"> Let us know via the v-feedback form if there are any bugs that Voltaic can fix.</t>
  </si>
  <si>
    <r>
      <rPr>
        <rFont val="Blinker"/>
        <color rgb="FFFFFFFF"/>
        <sz val="9.0"/>
      </rPr>
      <t xml:space="preserve">Voltaic KvKs </t>
    </r>
    <r>
      <rPr>
        <rFont val="Blinker"/>
        <color rgb="FFFFAB54"/>
        <sz val="9.0"/>
      </rPr>
      <t>Intermediate</t>
    </r>
    <r>
      <rPr>
        <rFont val="Blinker"/>
        <color rgb="FFE68622"/>
        <sz val="9.0"/>
      </rPr>
      <t xml:space="preserve"> </t>
    </r>
    <r>
      <rPr>
        <rFont val="Blinker"/>
        <color rgb="FFFFFFFF"/>
        <sz val="9.0"/>
      </rPr>
      <t>Benchmarks S4</t>
    </r>
  </si>
  <si>
    <t xml:space="preserve"> Strafe scenarios instructions</t>
  </si>
  <si>
    <t xml:space="preserve"> Below you will find instructions on how to play our Strafe (Movement scenarios)</t>
  </si>
  <si>
    <t>VT ArcStrafe, VT AngleStrafe, VT AirStrafe</t>
  </si>
  <si>
    <t>In these three scenarios above, MBS scoring is used - by default you should see a bar that fills up as you move. The amount of movement score you get is based on the time spent strafing before changing direction. As long as you change direction while the bar is green, you get maximum movement score. The bar is green between 3% and 100% fill. If you keep moving while the bar is full, you don't get any score. The score is capped to a value that is easy to reach (200 for AngleStrafe &amp; ArcStrafe 1000 for AirStrafe) as long as you move throughout the scenario. You should find ways to move in ways that makes aiming easy.</t>
  </si>
  <si>
    <t>Strafe</t>
  </si>
  <si>
    <t xml:space="preserve"> Strafe scenarios will not count towards your rank, but are required to acquire Complete roles</t>
  </si>
  <si>
    <t>Pushing your score further awards more Energy</t>
  </si>
  <si>
    <t>VT PatStrafe</t>
  </si>
  <si>
    <t>In the scenario above, conditional distance travelled scoring is used and is capped to 1000. In short, as long as you don't mirror every bot 100% of the time, you will reach the score cap. In theory, reaching maximum movement score requires you to anti-mirror for at least about 30-40% of the time. 
In practice you will get anti-mirror score while you unintentionally anti-mirror anyway. If you only mirror during the run, you will not reach the movement score cap. If you only anti-mirror you will easily reach score cap but your accuracy will suffer. You should mix up your movement and focus on accuracy.</t>
  </si>
  <si>
    <t>This allows you to obtain ranks without having to be equally good in each subcategory</t>
  </si>
  <si>
    <t>Just keep moving!</t>
  </si>
  <si>
    <t>KovaaKsCrackingPrismaticPull</t>
  </si>
  <si>
    <r>
      <rPr>
        <rFont val="Calibri, Arial"/>
        <color rgb="FFFFFFFF"/>
      </rPr>
      <t>Find more resources in</t>
    </r>
    <r>
      <rPr>
        <rFont val="Calibri, Arial"/>
        <color rgb="FF24DDD8"/>
      </rPr>
      <t xml:space="preserve"> </t>
    </r>
    <r>
      <rPr>
        <rFont val="Calibri, Arial"/>
        <color rgb="FF24DDD8"/>
        <u/>
      </rPr>
      <t>discord.gg/voltaic</t>
    </r>
  </si>
  <si>
    <r>
      <rPr>
        <rFont val="Blinker"/>
        <color rgb="FFFFFFFF"/>
        <sz val="9.0"/>
      </rPr>
      <t xml:space="preserve">Voltaic KvKs </t>
    </r>
    <r>
      <rPr>
        <rFont val="Blinker"/>
        <color rgb="FFFC596F"/>
        <sz val="9.0"/>
      </rPr>
      <t>Advanced</t>
    </r>
    <r>
      <rPr>
        <rFont val="Blinker"/>
        <color rgb="FFFFFFFF"/>
        <sz val="9.0"/>
      </rPr>
      <t xml:space="preserve"> Benchmarks S4</t>
    </r>
  </si>
  <si>
    <t>KovaaKsCrankingPulledGauntlet</t>
  </si>
  <si>
    <r>
      <rPr>
        <rFont val="Calibri, Arial"/>
        <color rgb="FFFFFFFF"/>
      </rPr>
      <t>Find more resources in</t>
    </r>
    <r>
      <rPr>
        <rFont val="Calibri, Arial"/>
        <color rgb="FF24DDD8"/>
      </rPr>
      <t xml:space="preserve"> </t>
    </r>
    <r>
      <rPr>
        <rFont val="Calibri, Arial"/>
        <color rgb="FF24DDD8"/>
        <u/>
      </rPr>
      <t>discord.gg/voltaic</t>
    </r>
  </si>
  <si>
    <t>Do not touch the Average column. Enter your scores 1-10 or however much you want to calculate an average from and check back on the corresponding difficulty tab to see your averages!</t>
  </si>
  <si>
    <r>
      <rPr>
        <rFont val="Blinker"/>
        <color rgb="FFFFFFFF"/>
        <sz val="9.0"/>
      </rPr>
      <t xml:space="preserve">Voltaic KvKs </t>
    </r>
    <r>
      <rPr>
        <rFont val="Blinker"/>
        <color rgb="FFFC596F"/>
        <sz val="9.0"/>
      </rPr>
      <t>Advanced</t>
    </r>
    <r>
      <rPr>
        <rFont val="Blinker"/>
        <color rgb="FFFFFFFF"/>
        <sz val="9.0"/>
      </rPr>
      <t xml:space="preserve"> Benchmarks</t>
    </r>
  </si>
  <si>
    <t>Average</t>
  </si>
  <si>
    <t>Score 1</t>
  </si>
  <si>
    <t>Score 2</t>
  </si>
  <si>
    <t>Score 3</t>
  </si>
  <si>
    <t>Score 4</t>
  </si>
  <si>
    <t>Score 5</t>
  </si>
  <si>
    <t>Score 6</t>
  </si>
  <si>
    <t>Score 7</t>
  </si>
  <si>
    <t>Score 8</t>
  </si>
  <si>
    <t>Score 9</t>
  </si>
  <si>
    <t>Score 10</t>
  </si>
  <si>
    <r>
      <rPr>
        <rFont val="Blinker, Arial"/>
        <color rgb="FFFFFFFF"/>
        <sz val="9.0"/>
      </rPr>
      <t xml:space="preserve">Voltaic KvKs </t>
    </r>
    <r>
      <rPr>
        <rFont val="Blinker, Arial"/>
        <color rgb="FFFFAB54"/>
        <sz val="9.0"/>
      </rPr>
      <t>Intermediate</t>
    </r>
    <r>
      <rPr>
        <rFont val="Blinker, Arial"/>
        <color rgb="FFE68622"/>
        <sz val="9.0"/>
      </rPr>
      <t xml:space="preserve"> </t>
    </r>
    <r>
      <rPr>
        <rFont val="Blinker, Arial"/>
        <color rgb="FFFFFFFF"/>
        <sz val="9.0"/>
      </rPr>
      <t>Benchmarks</t>
    </r>
  </si>
  <si>
    <r>
      <rPr>
        <rFont val="Blinker, Arial"/>
        <color rgb="FFFFFFFF"/>
        <sz val="9.0"/>
      </rPr>
      <t xml:space="preserve">Voltaic KvKs </t>
    </r>
    <r>
      <rPr>
        <rFont val="Blinker, Arial"/>
        <color rgb="FF37ECA6"/>
        <sz val="9.0"/>
      </rPr>
      <t xml:space="preserve">Novice </t>
    </r>
    <r>
      <rPr>
        <rFont val="Blinker, Arial"/>
        <color rgb="FFFFFFFF"/>
        <sz val="9.0"/>
      </rPr>
      <t>Benchmarks</t>
    </r>
  </si>
  <si>
    <t>Version</t>
  </si>
  <si>
    <t>Date</t>
  </si>
  <si>
    <t>Description</t>
  </si>
  <si>
    <t>1.2.9</t>
  </si>
  <si>
    <t>Changes:
NERFS:
- VT Air advanced: -50 for GM and Celestial, and -100 for Nova and Astra.
- VT Preciseorb intermediate: -50 for all ranks
- VT Skyts Advanced: nova nerfed to 1430
- Multiclick Advanced: -50 all ranks
BUFFS
- Air and Plaza Novice: 150+ for all ranks
- 1w6ts Novice: 50+ to all ranks.</t>
  </si>
  <si>
    <t>1.2.8</t>
  </si>
  <si>
    <t>VT Smoothbot Intermediate: Buff of 50 points to all ranks, so 3050 for Platinum, 3450 for Diamond, 3850 for Jade and 4250 for Master / VT Smoothbot Advanced: Buff of 100 points to all ranks, so 3300 for GM, 3600 for Nova, 3950 for Astra and 4000 for Celestial / VT Plaza Advanced: 75 score buff to GM and Nova, so 3275 for GM and 3475 for Nova / VT Evats Advanced: Nova score requirement increased from 730 to 740 / VT Skyts Advanced: Nova score requirement increased from 1420 to 1450.</t>
  </si>
  <si>
    <t>1.2.7</t>
  </si>
  <si>
    <t>Changed the score requirements for the reactive benchmarks. VT Plaza Intermediate was nerfed by 120 points across all ranks, the difference between VT Air Intermediate's ranks was made bigger by 50 points, and Master was buffed by 50 points. For VT Plaza Advanced GM was buffed to 3200, Nova was nerfed to 3400 and both Astra and Celestial were nerfed by 100 points each. Finally, for VT Air Advanced, there was a 50 nerf across all ranks except for Celestial.</t>
  </si>
  <si>
    <t>1.2.6</t>
  </si>
  <si>
    <t>New Playlists sharecodes added with VT Air and Plaza (apologise for two swift changes shortly after one another).</t>
  </si>
  <si>
    <t>1.2.5</t>
  </si>
  <si>
    <t>Swapped Air Varied and Ground Varied with Air and Plaza with bots from S3, in a minute gauntlet style fashion. Also Multishot has been nerfed by -40 on all levels, with exceptions to Astra/Celestial, those have been nerfed by -20 each). BounceTS nerfed by 20 on all levels, but buffed on Astra/Celestial by 10 points.</t>
  </si>
  <si>
    <t>1.2.4</t>
  </si>
  <si>
    <t xml:space="preserve">Reactive scenes are being worked on for a potential replacement while maintaining the 1m timer. Until that time, we wanted to rebalance the score targets for the current scenarios. -100 on all levels of GV + AV and some additional nerfs at higher levels. Enjoy! </t>
  </si>
  <si>
    <t>1.2.3</t>
  </si>
  <si>
    <t>Removed strikethrough from Ground Varied. Air Varied and Ground Varied temporarily nerfed until patch.</t>
  </si>
  <si>
    <t>1.2.2</t>
  </si>
  <si>
    <t>Added feature that shows when Novice players achieved complete ranks. Previously this would show the base rank instead.</t>
  </si>
  <si>
    <t>1.2.1</t>
  </si>
  <si>
    <t>Balancing and Buffs in Advanced. Slight nerfs and tweaks in Novice and Intermediate. Added changelog. Tweaked look and feel &amp; social links of sheet to be easier to navigate. Sheet now shows when oudated.</t>
  </si>
  <si>
    <t>1.2.0</t>
  </si>
  <si>
    <t>Start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</si>
</sst>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m/dd/yyyy"/>
  </numFmts>
  <fonts count="25">
    <font>
      <sz val="10.0"/>
      <color rgb="FF000000"/>
      <name val="Roboto"/>
      <scheme val="minor"/>
    </font>
    <font>
      <sz val="14.0"/>
      <color rgb="FFFFFFFF"/>
      <name val="Goldman"/>
    </font>
    <font>
      <sz val="9.0"/>
      <color rgb="FFFFFFFF"/>
      <name val="Blinker"/>
    </font>
    <font>
      <sz val="9.0"/>
      <color theme="1"/>
      <name val="Blinker"/>
    </font>
    <font>
      <u/>
      <sz val="9.0"/>
      <color theme="1"/>
      <name val="Blinker"/>
    </font>
    <font>
      <sz val="9.0"/>
      <color rgb="FF00784A"/>
      <name val="Blinker"/>
    </font>
    <font/>
    <font>
      <sz val="9.0"/>
      <color rgb="FFAA7238"/>
      <name val="Blinker"/>
    </font>
    <font>
      <sz val="9.0"/>
      <color rgb="FFA83B4A"/>
      <name val="Blinker"/>
    </font>
    <font>
      <sz val="9.0"/>
      <color rgb="FF000000"/>
      <name val="Blinker"/>
    </font>
    <font>
      <color rgb="FF00FF00"/>
      <name val="Calibri"/>
    </font>
    <font>
      <b/>
      <color rgb="FFFFFFFF"/>
      <name val="Calibri"/>
    </font>
    <font>
      <b/>
      <u/>
      <color rgb="FFFFFFFF"/>
      <name val="Calibri"/>
    </font>
    <font>
      <u/>
      <color rgb="FFFFFFFF"/>
      <name val="Calibri"/>
    </font>
    <font>
      <b/>
      <sz val="9.0"/>
      <color rgb="FFFFFFFF"/>
      <name val="Blinker"/>
    </font>
    <font>
      <color theme="1"/>
      <name val="Roboto"/>
      <scheme val="minor"/>
    </font>
    <font>
      <sz val="9.0"/>
      <color theme="0"/>
      <name val="Blinker"/>
    </font>
    <font>
      <sz val="10.0"/>
      <color rgb="FFFFFFFF"/>
      <name val="Calibri"/>
    </font>
    <font>
      <color rgb="FF37ECA6"/>
      <name val="Calibri"/>
    </font>
    <font>
      <sz val="10.0"/>
      <color rgb="FF37ECA6"/>
      <name val="Calibri"/>
    </font>
    <font>
      <u/>
      <color rgb="FFFFFFFF"/>
      <name val="Calibri"/>
    </font>
    <font>
      <color rgb="FFFFAB54"/>
      <name val="Calibri"/>
    </font>
    <font>
      <sz val="10.0"/>
      <color rgb="FFFFAB54"/>
      <name val="Calibri"/>
    </font>
    <font>
      <color rgb="FFFC596F"/>
      <name val="Calibri"/>
    </font>
    <font>
      <sz val="10.0"/>
      <color rgb="FFFC596F"/>
      <name val="Calibri"/>
    </font>
  </fonts>
  <fills count="78">
    <fill>
      <patternFill patternType="none"/>
    </fill>
    <fill>
      <patternFill patternType="lightGray"/>
    </fill>
    <fill>
      <patternFill patternType="solid">
        <fgColor rgb="FF20124D"/>
        <bgColor rgb="FF20124D"/>
      </patternFill>
    </fill>
    <fill>
      <patternFill patternType="solid">
        <fgColor rgb="FF674EA7"/>
        <bgColor rgb="FF674EA7"/>
      </patternFill>
    </fill>
    <fill>
      <patternFill patternType="solid">
        <fgColor rgb="FFD9D2E9"/>
        <bgColor rgb="FFD9D2E9"/>
      </patternFill>
    </fill>
    <fill>
      <patternFill patternType="solid">
        <fgColor rgb="FFAAE6CF"/>
        <bgColor rgb="FFAAE6CF"/>
      </patternFill>
    </fill>
    <fill>
      <patternFill patternType="solid">
        <fgColor rgb="FFFFE3C6"/>
        <bgColor rgb="FFFFE3C6"/>
      </patternFill>
    </fill>
    <fill>
      <patternFill patternType="solid">
        <fgColor rgb="FFFEC7CF"/>
        <bgColor rgb="FFFEC7CF"/>
      </patternFill>
    </fill>
    <fill>
      <patternFill patternType="solid">
        <fgColor rgb="FF00B56F"/>
        <bgColor rgb="FF00B56F"/>
      </patternFill>
    </fill>
    <fill>
      <patternFill patternType="solid">
        <fgColor rgb="FFFFAB54"/>
        <bgColor rgb="FFFFAB54"/>
      </patternFill>
    </fill>
    <fill>
      <patternFill patternType="solid">
        <fgColor rgb="FFFC596F"/>
        <bgColor rgb="FFFC596F"/>
      </patternFill>
    </fill>
    <fill>
      <patternFill patternType="solid">
        <fgColor rgb="FF999999"/>
        <bgColor rgb="FF999999"/>
      </patternFill>
    </fill>
    <fill>
      <patternFill patternType="solid">
        <fgColor rgb="FFFF9900"/>
        <bgColor rgb="FFFF9900"/>
      </patternFill>
    </fill>
    <fill>
      <patternFill patternType="solid">
        <fgColor rgb="FFCBD9E6"/>
        <bgColor rgb="FFCBD9E6"/>
      </patternFill>
    </fill>
    <fill>
      <patternFill patternType="solid">
        <fgColor rgb="FFCAB148"/>
        <bgColor rgb="FFCAB148"/>
      </patternFill>
    </fill>
    <fill>
      <patternFill patternType="solid">
        <fgColor rgb="FF2FCFC2"/>
        <bgColor rgb="FF2FCFC2"/>
      </patternFill>
    </fill>
    <fill>
      <patternFill patternType="solid">
        <fgColor rgb="FFB9F2FF"/>
        <bgColor rgb="FFB9F2FF"/>
      </patternFill>
    </fill>
    <fill>
      <patternFill patternType="solid">
        <fgColor rgb="FF85FA85"/>
        <bgColor rgb="FF85FA85"/>
      </patternFill>
    </fill>
    <fill>
      <patternFill patternType="solid">
        <fgColor rgb="FFEC44CA"/>
        <bgColor rgb="FFEC44CA"/>
      </patternFill>
    </fill>
    <fill>
      <patternFill patternType="solid">
        <fgColor rgb="FFFFD700"/>
        <bgColor rgb="FFFFD700"/>
      </patternFill>
    </fill>
    <fill>
      <patternFill patternType="solid">
        <fgColor rgb="FF7900FF"/>
        <bgColor rgb="FF7900FF"/>
      </patternFill>
    </fill>
    <fill>
      <patternFill patternType="solid">
        <fgColor rgb="FFFF2262"/>
        <bgColor rgb="FFFF2262"/>
      </patternFill>
    </fill>
    <fill>
      <patternFill patternType="solid">
        <fgColor theme="1"/>
        <bgColor theme="1"/>
      </patternFill>
    </fill>
    <fill>
      <patternFill patternType="solid">
        <fgColor rgb="FF8E7CC3"/>
        <bgColor rgb="FF8E7CC3"/>
      </patternFill>
    </fill>
    <fill>
      <patternFill patternType="solid">
        <fgColor rgb="FF666666"/>
        <bgColor rgb="FF666666"/>
      </patternFill>
    </fill>
    <fill>
      <patternFill patternType="solid">
        <fgColor rgb="FFAA6600"/>
        <bgColor rgb="FFAA6600"/>
      </patternFill>
    </fill>
    <fill>
      <patternFill patternType="solid">
        <fgColor rgb="FF879099"/>
        <bgColor rgb="FF879099"/>
      </patternFill>
    </fill>
    <fill>
      <patternFill patternType="solid">
        <fgColor rgb="FF867630"/>
        <bgColor rgb="FF867630"/>
      </patternFill>
    </fill>
    <fill>
      <patternFill patternType="solid">
        <fgColor rgb="FF1F8A81"/>
        <bgColor rgb="FF1F8A81"/>
      </patternFill>
    </fill>
    <fill>
      <patternFill patternType="solid">
        <fgColor rgb="FF7BA1AA"/>
        <bgColor rgb="FF7BA1AA"/>
      </patternFill>
    </fill>
    <fill>
      <patternFill patternType="solid">
        <fgColor rgb="FF58A658"/>
        <bgColor rgb="FF58A658"/>
      </patternFill>
    </fill>
    <fill>
      <patternFill patternType="solid">
        <fgColor rgb="FF9D2D86"/>
        <bgColor rgb="FF9D2D86"/>
      </patternFill>
    </fill>
    <fill>
      <patternFill patternType="solid">
        <fgColor rgb="FFAA8F00"/>
        <bgColor rgb="FFAA8F00"/>
      </patternFill>
    </fill>
    <fill>
      <patternFill patternType="solid">
        <fgColor rgb="FF5000AA"/>
        <bgColor rgb="FF5000AA"/>
      </patternFill>
    </fill>
    <fill>
      <patternFill patternType="solid">
        <fgColor rgb="FFAA1641"/>
        <bgColor rgb="FFAA1641"/>
      </patternFill>
    </fill>
    <fill>
      <patternFill patternType="solid">
        <fgColor rgb="FF2A2A2A"/>
        <bgColor rgb="FF2A2A2A"/>
      </patternFill>
    </fill>
    <fill>
      <patternFill patternType="solid">
        <fgColor rgb="FF362093"/>
        <bgColor rgb="FF362093"/>
      </patternFill>
    </fill>
    <fill>
      <patternFill patternType="solid">
        <fgColor rgb="FF5231DD"/>
        <bgColor rgb="FF5231DD"/>
      </patternFill>
    </fill>
    <fill>
      <patternFill patternType="solid">
        <fgColor rgb="FF2F196B"/>
        <bgColor rgb="FF2F196B"/>
      </patternFill>
    </fill>
    <fill>
      <patternFill patternType="solid">
        <fgColor rgb="FFFFFFFF"/>
        <bgColor rgb="FFFFFFFF"/>
      </patternFill>
    </fill>
    <fill>
      <patternFill patternType="solid">
        <fgColor rgb="FF24DDD8"/>
        <bgColor rgb="FF24DDD8"/>
      </patternFill>
    </fill>
    <fill>
      <patternFill patternType="solid">
        <fgColor rgb="FF189390"/>
        <bgColor rgb="FF189390"/>
      </patternFill>
    </fill>
    <fill>
      <patternFill patternType="solid">
        <fgColor rgb="FFCC0000"/>
        <bgColor rgb="FFCC0000"/>
      </patternFill>
    </fill>
    <fill>
      <patternFill patternType="solid">
        <fgColor rgb="FFF1C232"/>
        <bgColor rgb="FFF1C232"/>
      </patternFill>
    </fill>
    <fill>
      <patternFill patternType="solid">
        <fgColor rgb="FFFFF1AA"/>
        <bgColor rgb="FFFFF1AA"/>
      </patternFill>
    </fill>
    <fill>
      <patternFill patternType="solid">
        <fgColor rgb="FFE7FAFF"/>
        <bgColor rgb="FFE7FAFF"/>
      </patternFill>
    </fill>
    <fill>
      <patternFill patternType="solid">
        <fgColor rgb="FFEFEFEF"/>
        <bgColor rgb="FFEFEFEF"/>
      </patternFill>
    </fill>
    <fill>
      <patternFill patternType="solid">
        <fgColor rgb="FFFCE5CD"/>
        <bgColor rgb="FFFCE5CD"/>
      </patternFill>
    </fill>
    <fill>
      <patternFill patternType="solid">
        <fgColor rgb="FFDCE5EC"/>
        <bgColor rgb="FFDCE5EC"/>
      </patternFill>
    </fill>
    <fill>
      <patternFill patternType="solid">
        <fgColor rgb="FFE4DAB0"/>
        <bgColor rgb="FFE4DAB0"/>
      </patternFill>
    </fill>
    <fill>
      <patternFill patternType="solid">
        <fgColor rgb="FFE06666"/>
        <bgColor rgb="FFE06666"/>
      </patternFill>
    </fill>
    <fill>
      <patternFill patternType="solid">
        <fgColor rgb="FFEA9999"/>
        <bgColor rgb="FFEA9999"/>
      </patternFill>
    </fill>
    <fill>
      <patternFill patternType="solid">
        <fgColor rgb="FF1155CC"/>
        <bgColor rgb="FF1155CC"/>
      </patternFill>
    </fill>
    <fill>
      <patternFill patternType="solid">
        <fgColor rgb="FF45818E"/>
        <bgColor rgb="FF45818E"/>
      </patternFill>
    </fill>
    <fill>
      <patternFill patternType="solid">
        <fgColor rgb="FFA2C4C9"/>
        <bgColor rgb="FFA2C4C9"/>
      </patternFill>
    </fill>
    <fill>
      <patternFill patternType="solid">
        <fgColor rgb="FF3C78D8"/>
        <bgColor rgb="FF3C78D8"/>
      </patternFill>
    </fill>
    <fill>
      <patternFill patternType="solid">
        <fgColor rgb="FFA4C2F4"/>
        <bgColor rgb="FFA4C2F4"/>
      </patternFill>
    </fill>
    <fill>
      <patternFill patternType="solid">
        <fgColor rgb="FF351C75"/>
        <bgColor rgb="FF351C75"/>
      </patternFill>
    </fill>
    <fill>
      <patternFill patternType="solid">
        <fgColor rgb="FFA64D79"/>
        <bgColor rgb="FFA64D79"/>
      </patternFill>
    </fill>
    <fill>
      <patternFill patternType="solid">
        <fgColor rgb="FFD5A6BD"/>
        <bgColor rgb="FFD5A6BD"/>
      </patternFill>
    </fill>
    <fill>
      <patternFill patternType="solid">
        <fgColor rgb="FFB4A7D6"/>
        <bgColor rgb="FFB4A7D6"/>
      </patternFill>
    </fill>
    <fill>
      <patternFill patternType="solid">
        <fgColor rgb="FF1F1047"/>
        <bgColor rgb="FF1F1047"/>
      </patternFill>
    </fill>
    <fill>
      <patternFill patternType="solid">
        <fgColor rgb="FF1B0A47"/>
        <bgColor rgb="FF1B0A47"/>
      </patternFill>
    </fill>
    <fill>
      <patternFill patternType="solid">
        <fgColor rgb="FFB04DB0"/>
        <bgColor rgb="FFB04DB0"/>
      </patternFill>
    </fill>
    <fill>
      <patternFill patternType="solid">
        <fgColor rgb="FFFDA2FD"/>
        <bgColor rgb="FFFDA2FD"/>
      </patternFill>
    </fill>
    <fill>
      <patternFill patternType="solid">
        <fgColor rgb="FFB9EFEA"/>
        <bgColor rgb="FFB9EFEA"/>
      </patternFill>
    </fill>
    <fill>
      <patternFill patternType="solid">
        <fgColor rgb="FFCEFDCE"/>
        <bgColor rgb="FFCEFDCE"/>
      </patternFill>
    </fill>
    <fill>
      <patternFill patternType="solid">
        <fgColor rgb="FFF8C0ED"/>
        <bgColor rgb="FFF8C0ED"/>
      </patternFill>
    </fill>
    <fill>
      <patternFill patternType="solid">
        <fgColor rgb="FFFED0FE"/>
        <bgColor rgb="FFFED0FE"/>
      </patternFill>
    </fill>
    <fill>
      <patternFill patternType="solid">
        <fgColor rgb="FFFEDFFE"/>
        <bgColor rgb="FFFEDFFE"/>
      </patternFill>
    </fill>
    <fill>
      <patternFill patternType="solid">
        <fgColor rgb="FFFC74FC"/>
        <bgColor rgb="FFFC74FC"/>
      </patternFill>
    </fill>
    <fill>
      <patternFill patternType="solid">
        <fgColor rgb="FFF3F3F3"/>
        <bgColor rgb="FFF3F3F3"/>
      </patternFill>
    </fill>
    <fill>
      <patternFill patternType="solid">
        <fgColor rgb="FFC089FF"/>
        <bgColor rgb="FFC089FF"/>
      </patternFill>
    </fill>
    <fill>
      <patternFill patternType="solid">
        <fgColor rgb="FFFF89AA"/>
        <bgColor rgb="FFFF89AA"/>
      </patternFill>
    </fill>
    <fill>
      <patternFill patternType="solid">
        <fgColor rgb="FFFFF2CC"/>
        <bgColor rgb="FFFFF2CC"/>
      </patternFill>
    </fill>
    <fill>
      <patternFill patternType="solid">
        <fgColor rgb="FFB97FFA"/>
        <bgColor rgb="FFB97FFA"/>
      </patternFill>
    </fill>
    <fill>
      <patternFill patternType="solid">
        <fgColor rgb="FFEAD7FF"/>
        <bgColor rgb="FFEAD7FF"/>
      </patternFill>
    </fill>
    <fill>
      <patternFill patternType="solid">
        <fgColor rgb="FFEBE8FB"/>
        <bgColor rgb="FFEBE8FB"/>
      </patternFill>
    </fill>
  </fills>
  <borders count="6">
    <border/>
    <border>
      <top style="thick">
        <color rgb="FF44346F"/>
      </top>
    </border>
    <border>
      <top style="thick">
        <color rgb="FF00784A"/>
      </top>
      <bottom style="thick">
        <color rgb="FF00784A"/>
      </bottom>
    </border>
    <border>
      <top style="thick">
        <color rgb="FFAA7238"/>
      </top>
      <bottom style="thick">
        <color rgb="FFAA7238"/>
      </bottom>
    </border>
    <border>
      <top style="thick">
        <color rgb="FFA83B4A"/>
      </top>
      <bottom style="thick">
        <color rgb="FFA83B4A"/>
      </bottom>
    </border>
    <border>
      <bottom style="thick">
        <color rgb="FFFFFFFF"/>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left" readingOrder="0" vertical="center"/>
    </xf>
    <xf borderId="0" fillId="4" fontId="3" numFmtId="0" xfId="0" applyAlignment="1" applyFill="1" applyFont="1">
      <alignment readingOrder="0" vertical="center"/>
    </xf>
    <xf borderId="0" fillId="4" fontId="3" numFmtId="0" xfId="0" applyAlignment="1" applyFont="1">
      <alignment readingOrder="0" shrinkToFit="0" vertical="center" wrapText="0"/>
    </xf>
    <xf borderId="0" fillId="4" fontId="4" numFmtId="0" xfId="0" applyAlignment="1" applyFont="1">
      <alignment readingOrder="0" shrinkToFit="0" vertical="center" wrapText="0"/>
    </xf>
    <xf borderId="1" fillId="3" fontId="2" numFmtId="0" xfId="0" applyAlignment="1" applyBorder="1" applyFont="1">
      <alignment horizontal="center" readingOrder="0" vertical="center"/>
    </xf>
    <xf borderId="2" fillId="5" fontId="5" numFmtId="0" xfId="0" applyAlignment="1" applyBorder="1" applyFill="1" applyFont="1">
      <alignment horizontal="center" readingOrder="0" vertical="center"/>
    </xf>
    <xf borderId="2" fillId="0" fontId="6" numFmtId="0" xfId="0" applyBorder="1" applyFont="1"/>
    <xf borderId="3" fillId="6" fontId="7" numFmtId="0" xfId="0" applyAlignment="1" applyBorder="1" applyFill="1" applyFont="1">
      <alignment horizontal="center" readingOrder="0" vertical="center"/>
    </xf>
    <xf borderId="3" fillId="0" fontId="6" numFmtId="0" xfId="0" applyBorder="1" applyFont="1"/>
    <xf borderId="4" fillId="7" fontId="8" numFmtId="0" xfId="0" applyAlignment="1" applyBorder="1" applyFill="1" applyFont="1">
      <alignment horizontal="center" readingOrder="0" vertical="center"/>
    </xf>
    <xf borderId="4" fillId="0" fontId="6" numFmtId="0" xfId="0" applyBorder="1" applyFont="1"/>
    <xf borderId="5" fillId="0" fontId="6" numFmtId="0" xfId="0" applyBorder="1" applyFont="1"/>
    <xf borderId="5" fillId="8" fontId="2" numFmtId="0" xfId="0" applyAlignment="1" applyBorder="1" applyFill="1" applyFont="1">
      <alignment horizontal="center" readingOrder="0" vertical="center"/>
    </xf>
    <xf borderId="5" fillId="9" fontId="2" numFmtId="0" xfId="0" applyAlignment="1" applyBorder="1" applyFill="1" applyFont="1">
      <alignment horizontal="center" readingOrder="0" vertical="center"/>
    </xf>
    <xf borderId="5" fillId="10" fontId="2" numFmtId="0" xfId="0" applyAlignment="1" applyBorder="1" applyFill="1" applyFont="1">
      <alignment horizontal="center" readingOrder="0" vertical="center"/>
    </xf>
    <xf borderId="0" fillId="4" fontId="3" numFmtId="0" xfId="0" applyAlignment="1" applyFont="1">
      <alignment horizontal="center" readingOrder="0" vertical="center"/>
    </xf>
    <xf borderId="0" fillId="11" fontId="2" numFmtId="0" xfId="0" applyAlignment="1" applyFill="1" applyFont="1">
      <alignment horizontal="center" readingOrder="0" vertical="center"/>
    </xf>
    <xf borderId="0" fillId="12" fontId="2" numFmtId="0" xfId="0" applyAlignment="1" applyFill="1" applyFont="1">
      <alignment horizontal="center" readingOrder="0" vertical="center"/>
    </xf>
    <xf borderId="0" fillId="13" fontId="9" numFmtId="0" xfId="0" applyAlignment="1" applyFill="1" applyFont="1">
      <alignment horizontal="center" readingOrder="0" vertical="center"/>
    </xf>
    <xf borderId="0" fillId="14" fontId="2" numFmtId="0" xfId="0" applyAlignment="1" applyFill="1" applyFont="1">
      <alignment horizontal="center" readingOrder="0" vertical="center"/>
    </xf>
    <xf borderId="0" fillId="15" fontId="9" numFmtId="0" xfId="0" applyAlignment="1" applyFill="1" applyFont="1">
      <alignment horizontal="center" readingOrder="0" vertical="center"/>
    </xf>
    <xf borderId="0" fillId="16" fontId="9" numFmtId="0" xfId="0" applyAlignment="1" applyFill="1" applyFont="1">
      <alignment horizontal="center" readingOrder="0" vertical="center"/>
    </xf>
    <xf borderId="0" fillId="17" fontId="9" numFmtId="0" xfId="0" applyAlignment="1" applyFill="1" applyFont="1">
      <alignment horizontal="center" readingOrder="0" vertical="center"/>
    </xf>
    <xf borderId="0" fillId="18" fontId="2" numFmtId="0" xfId="0" applyAlignment="1" applyFill="1" applyFont="1">
      <alignment horizontal="center" readingOrder="0" vertical="center"/>
    </xf>
    <xf borderId="0" fillId="19" fontId="9" numFmtId="0" xfId="0" applyAlignment="1" applyFill="1" applyFont="1">
      <alignment horizontal="center" readingOrder="0" vertical="center"/>
    </xf>
    <xf borderId="0" fillId="20" fontId="2" numFmtId="0" xfId="0" applyAlignment="1" applyFill="1" applyFont="1">
      <alignment horizontal="center" readingOrder="0" vertical="center"/>
    </xf>
    <xf borderId="0" fillId="21" fontId="2" numFmtId="0" xfId="0" applyAlignment="1" applyFill="1" applyFont="1">
      <alignment horizontal="center" readingOrder="0" vertical="center"/>
    </xf>
    <xf borderId="0" fillId="22" fontId="2" numFmtId="0" xfId="0" applyAlignment="1" applyFill="1" applyFont="1">
      <alignment horizontal="center" readingOrder="0" vertical="center"/>
    </xf>
    <xf borderId="0" fillId="23" fontId="2" numFmtId="0" xfId="0" applyAlignment="1" applyFill="1" applyFont="1">
      <alignment horizontal="center" readingOrder="0" vertical="center"/>
    </xf>
    <xf borderId="0" fillId="24" fontId="2" numFmtId="0" xfId="0" applyAlignment="1" applyFill="1" applyFont="1">
      <alignment horizontal="center" readingOrder="0" vertical="center"/>
    </xf>
    <xf borderId="0" fillId="25" fontId="2" numFmtId="0" xfId="0" applyAlignment="1" applyFill="1" applyFont="1">
      <alignment horizontal="center" readingOrder="0" vertical="center"/>
    </xf>
    <xf borderId="0" fillId="26" fontId="2" numFmtId="0" xfId="0" applyAlignment="1" applyFill="1" applyFont="1">
      <alignment horizontal="center" readingOrder="0" vertical="center"/>
    </xf>
    <xf borderId="0" fillId="27" fontId="2" numFmtId="0" xfId="0" applyAlignment="1" applyFill="1" applyFont="1">
      <alignment horizontal="center" readingOrder="0" vertical="center"/>
    </xf>
    <xf borderId="0" fillId="28" fontId="2" numFmtId="0" xfId="0" applyAlignment="1" applyFill="1" applyFont="1">
      <alignment horizontal="center" readingOrder="0" vertical="center"/>
    </xf>
    <xf borderId="0" fillId="29" fontId="2" numFmtId="0" xfId="0" applyAlignment="1" applyFill="1" applyFont="1">
      <alignment horizontal="center" readingOrder="0" vertical="center"/>
    </xf>
    <xf borderId="0" fillId="30" fontId="2" numFmtId="0" xfId="0" applyAlignment="1" applyFill="1" applyFont="1">
      <alignment horizontal="center" readingOrder="0" vertical="center"/>
    </xf>
    <xf borderId="0" fillId="31" fontId="2" numFmtId="0" xfId="0" applyAlignment="1" applyFill="1" applyFont="1">
      <alignment horizontal="center" readingOrder="0" vertical="center"/>
    </xf>
    <xf borderId="0" fillId="32" fontId="2" numFmtId="0" xfId="0" applyAlignment="1" applyFill="1" applyFont="1">
      <alignment horizontal="center" readingOrder="0" vertical="center"/>
    </xf>
    <xf borderId="0" fillId="33" fontId="2" numFmtId="0" xfId="0" applyAlignment="1" applyFill="1" applyFont="1">
      <alignment horizontal="center" readingOrder="0" vertical="center"/>
    </xf>
    <xf borderId="0" fillId="34" fontId="2" numFmtId="0" xfId="0" applyAlignment="1" applyFill="1" applyFont="1">
      <alignment horizontal="center" readingOrder="0" vertical="center"/>
    </xf>
    <xf borderId="0" fillId="35" fontId="2" numFmtId="0" xfId="0" applyAlignment="1" applyFill="1" applyFont="1">
      <alignment horizontal="center" readingOrder="0" vertical="center"/>
    </xf>
    <xf borderId="0" fillId="2" fontId="10" numFmtId="0" xfId="0" applyAlignment="1" applyFont="1">
      <alignment horizontal="center" vertical="center"/>
    </xf>
    <xf borderId="0" fillId="36" fontId="11" numFmtId="0" xfId="0" applyAlignment="1" applyFill="1" applyFont="1">
      <alignment horizontal="center" vertical="center"/>
    </xf>
    <xf borderId="0" fillId="37" fontId="12" numFmtId="0" xfId="0" applyAlignment="1" applyFill="1" applyFont="1">
      <alignment horizontal="center" vertical="center"/>
    </xf>
    <xf borderId="0" fillId="37" fontId="13" numFmtId="0" xfId="0" applyAlignment="1" applyFont="1">
      <alignment horizontal="center" readingOrder="0" vertical="center"/>
    </xf>
    <xf borderId="0" fillId="38" fontId="2" numFmtId="0" xfId="0" applyAlignment="1" applyFill="1" applyFont="1">
      <alignment horizontal="center" readingOrder="0" vertical="center"/>
    </xf>
    <xf borderId="0" fillId="39" fontId="2" numFmtId="0" xfId="0" applyAlignment="1" applyFill="1" applyFont="1">
      <alignment horizontal="center" readingOrder="0" vertical="center"/>
    </xf>
    <xf borderId="0" fillId="40" fontId="3" numFmtId="0" xfId="0" applyAlignment="1" applyFill="1" applyFont="1">
      <alignment horizontal="center" readingOrder="0" vertical="center"/>
    </xf>
    <xf borderId="0" fillId="0" fontId="9" numFmtId="0" xfId="0" applyAlignment="1" applyFont="1">
      <alignment horizontal="center" readingOrder="0" vertical="center"/>
    </xf>
    <xf borderId="0" fillId="37" fontId="14" numFmtId="0" xfId="0" applyAlignment="1" applyFont="1">
      <alignment horizontal="center" readingOrder="0" vertical="center"/>
    </xf>
    <xf borderId="0" fillId="37" fontId="2" numFmtId="0" xfId="0" applyAlignment="1" applyFont="1">
      <alignment horizontal="center" readingOrder="0" textRotation="90" vertical="center"/>
    </xf>
    <xf borderId="0" fillId="37" fontId="2" numFmtId="0" xfId="0" applyAlignment="1" applyFont="1">
      <alignment horizontal="center" readingOrder="0" vertical="center"/>
    </xf>
    <xf borderId="0" fillId="41" fontId="2" numFmtId="0" xfId="0" applyAlignment="1" applyFill="1" applyFont="1">
      <alignment horizontal="center" readingOrder="0" vertical="center"/>
    </xf>
    <xf borderId="0" fillId="37" fontId="15" numFmtId="0" xfId="0" applyFont="1"/>
    <xf borderId="0" fillId="26" fontId="16" numFmtId="0" xfId="0" applyAlignment="1" applyFont="1">
      <alignment horizontal="center" readingOrder="0" vertical="center"/>
    </xf>
    <xf borderId="0" fillId="23" fontId="2" numFmtId="0" xfId="0" applyAlignment="1" applyFont="1">
      <alignment horizontal="left" readingOrder="0" vertical="center"/>
    </xf>
    <xf borderId="0" fillId="42" fontId="2" numFmtId="0" xfId="0" applyAlignment="1" applyFill="1" applyFont="1">
      <alignment horizontal="center" readingOrder="0" textRotation="90" vertical="center"/>
    </xf>
    <xf borderId="0" fillId="43" fontId="9" numFmtId="0" xfId="0" applyAlignment="1" applyFill="1" applyFont="1">
      <alignment horizontal="center" readingOrder="0" textRotation="90" vertical="center"/>
    </xf>
    <xf borderId="0" fillId="44" fontId="9" numFmtId="0" xfId="0" applyAlignment="1" applyFill="1" applyFont="1">
      <alignment readingOrder="0" vertical="center"/>
    </xf>
    <xf borderId="0" fillId="0" fontId="3" numFmtId="0" xfId="0" applyAlignment="1" applyFont="1">
      <alignment horizontal="center" readingOrder="0" vertical="center"/>
    </xf>
    <xf borderId="0" fillId="0" fontId="9" numFmtId="0" xfId="0" applyAlignment="1" applyFont="1">
      <alignment readingOrder="0" vertical="center"/>
    </xf>
    <xf borderId="0" fillId="45" fontId="3" numFmtId="0" xfId="0" applyAlignment="1" applyFill="1" applyFont="1">
      <alignment horizontal="center" readingOrder="0" vertical="center"/>
    </xf>
    <xf borderId="0" fillId="0" fontId="15" numFmtId="0" xfId="0" applyFont="1"/>
    <xf borderId="0" fillId="46" fontId="9" numFmtId="0" xfId="0" applyAlignment="1" applyFill="1" applyFont="1">
      <alignment horizontal="center" readingOrder="0" vertical="center"/>
    </xf>
    <xf borderId="0" fillId="47" fontId="3" numFmtId="164" xfId="0" applyAlignment="1" applyFill="1" applyFont="1" applyNumberFormat="1">
      <alignment horizontal="center" vertical="center"/>
    </xf>
    <xf borderId="0" fillId="48" fontId="3" numFmtId="164" xfId="0" applyAlignment="1" applyFill="1" applyFont="1" applyNumberFormat="1">
      <alignment horizontal="center" vertical="center"/>
    </xf>
    <xf borderId="0" fillId="49" fontId="3" numFmtId="0" xfId="0" applyAlignment="1" applyFill="1" applyFont="1">
      <alignment horizontal="center" vertical="center"/>
    </xf>
    <xf borderId="0" fillId="4" fontId="3" numFmtId="0" xfId="0" applyAlignment="1" applyFont="1">
      <alignment horizontal="left" readingOrder="0" vertical="center"/>
    </xf>
    <xf borderId="0" fillId="50" fontId="2" numFmtId="0" xfId="0" applyAlignment="1" applyFill="1" applyFont="1">
      <alignment horizontal="center" readingOrder="0" textRotation="90" vertical="center"/>
    </xf>
    <xf borderId="0" fillId="51" fontId="9" numFmtId="0" xfId="0" applyAlignment="1" applyFill="1" applyFont="1">
      <alignment readingOrder="0" vertical="center"/>
    </xf>
    <xf borderId="0" fillId="46" fontId="3" numFmtId="0" xfId="0" applyAlignment="1" applyFont="1">
      <alignment horizontal="center" readingOrder="0" vertical="center"/>
    </xf>
    <xf borderId="0" fillId="52" fontId="2" numFmtId="0" xfId="0" applyAlignment="1" applyFill="1" applyFont="1">
      <alignment horizontal="center" readingOrder="0" textRotation="90" vertical="center"/>
    </xf>
    <xf borderId="0" fillId="53" fontId="2" numFmtId="0" xfId="0" applyAlignment="1" applyFill="1" applyFont="1">
      <alignment horizontal="center" textRotation="90" vertical="center"/>
    </xf>
    <xf borderId="0" fillId="54" fontId="9" numFmtId="0" xfId="0" applyAlignment="1" applyFill="1" applyFont="1">
      <alignment readingOrder="0" vertical="center"/>
    </xf>
    <xf borderId="0" fillId="55" fontId="2" numFmtId="0" xfId="0" applyAlignment="1" applyFill="1" applyFont="1">
      <alignment horizontal="center" readingOrder="0" textRotation="90" vertical="center"/>
    </xf>
    <xf borderId="0" fillId="56" fontId="9" numFmtId="0" xfId="0" applyAlignment="1" applyFill="1" applyFont="1">
      <alignment readingOrder="0" vertical="center"/>
    </xf>
    <xf borderId="0" fillId="57" fontId="2" numFmtId="0" xfId="0" applyAlignment="1" applyFill="1" applyFont="1">
      <alignment horizontal="center" readingOrder="0" textRotation="90" vertical="center"/>
    </xf>
    <xf borderId="0" fillId="58" fontId="2" numFmtId="0" xfId="0" applyAlignment="1" applyFill="1" applyFont="1">
      <alignment horizontal="center" readingOrder="0" textRotation="90" vertical="center"/>
    </xf>
    <xf borderId="0" fillId="59" fontId="9" numFmtId="0" xfId="0" applyAlignment="1" applyFill="1" applyFont="1">
      <alignment readingOrder="0" vertical="center"/>
    </xf>
    <xf borderId="0" fillId="3" fontId="2" numFmtId="0" xfId="0" applyAlignment="1" applyFont="1">
      <alignment horizontal="center" readingOrder="0" textRotation="90" vertical="center"/>
    </xf>
    <xf borderId="0" fillId="60" fontId="9" numFmtId="164" xfId="0" applyAlignment="1" applyFill="1" applyFont="1" applyNumberFormat="1">
      <alignment readingOrder="0" vertical="center"/>
    </xf>
    <xf borderId="0" fillId="47" fontId="3" numFmtId="164" xfId="0" applyAlignment="1" applyFont="1" applyNumberFormat="1">
      <alignment horizontal="center" readingOrder="0" vertical="center"/>
    </xf>
    <xf borderId="0" fillId="48" fontId="3" numFmtId="164" xfId="0" applyAlignment="1" applyFont="1" applyNumberFormat="1">
      <alignment horizontal="center" readingOrder="0" vertical="center"/>
    </xf>
    <xf borderId="0" fillId="49" fontId="3" numFmtId="0" xfId="0" applyAlignment="1" applyFont="1">
      <alignment horizontal="center" readingOrder="0" vertical="center"/>
    </xf>
    <xf borderId="0" fillId="37" fontId="17" numFmtId="0" xfId="0" applyAlignment="1" applyFont="1">
      <alignment horizontal="center" readingOrder="0" textRotation="0" vertical="center"/>
    </xf>
    <xf borderId="0" fillId="61" fontId="18" numFmtId="0" xfId="0" applyAlignment="1" applyFill="1" applyFont="1">
      <alignment horizontal="center" vertical="center"/>
    </xf>
    <xf borderId="0" fillId="3" fontId="2" numFmtId="0" xfId="0" applyAlignment="1" applyFont="1">
      <alignment shrinkToFit="0" vertical="center" wrapText="1"/>
    </xf>
    <xf borderId="0" fillId="62" fontId="19" numFmtId="0" xfId="0" applyAlignment="1" applyFill="1" applyFont="1">
      <alignment horizontal="center" readingOrder="0" textRotation="0" vertical="center"/>
    </xf>
    <xf borderId="0" fillId="23" fontId="2" numFmtId="0" xfId="0" applyAlignment="1" applyFont="1">
      <alignment readingOrder="0" shrinkToFit="0" vertical="center" wrapText="1"/>
    </xf>
    <xf borderId="0" fillId="38" fontId="20" numFmtId="0" xfId="0" applyAlignment="1" applyFont="1">
      <alignment horizontal="center" readingOrder="0" vertical="center"/>
    </xf>
    <xf borderId="0" fillId="23" fontId="2" numFmtId="0" xfId="0" applyAlignment="1" applyFont="1">
      <alignment readingOrder="0" vertical="center"/>
    </xf>
    <xf borderId="0" fillId="39" fontId="3" numFmtId="0" xfId="0" applyAlignment="1" applyFont="1">
      <alignment horizontal="center" readingOrder="0" vertical="center"/>
    </xf>
    <xf borderId="0" fillId="0" fontId="3" numFmtId="0" xfId="0" applyAlignment="1" applyFont="1">
      <alignment horizontal="center" vertical="center"/>
    </xf>
    <xf borderId="0" fillId="63" fontId="2" numFmtId="0" xfId="0" applyAlignment="1" applyFill="1" applyFont="1">
      <alignment horizontal="left" readingOrder="0" vertical="center"/>
    </xf>
    <xf borderId="0" fillId="28" fontId="16" numFmtId="0" xfId="0" applyAlignment="1" applyFont="1">
      <alignment horizontal="center" readingOrder="0" vertical="center"/>
    </xf>
    <xf borderId="0" fillId="29" fontId="16" numFmtId="0" xfId="0" applyAlignment="1" applyFont="1">
      <alignment horizontal="center" readingOrder="0" vertical="center"/>
    </xf>
    <xf borderId="0" fillId="64" fontId="3" numFmtId="0" xfId="0" applyAlignment="1" applyFill="1" applyFont="1">
      <alignment horizontal="left" readingOrder="0" vertical="center"/>
    </xf>
    <xf borderId="0" fillId="43" fontId="9" numFmtId="0" xfId="0" applyAlignment="1" applyFont="1">
      <alignment horizontal="center" textRotation="90" vertical="center"/>
    </xf>
    <xf borderId="0" fillId="0" fontId="9" numFmtId="0" xfId="0" applyAlignment="1" applyFont="1">
      <alignment vertical="center"/>
    </xf>
    <xf borderId="0" fillId="65" fontId="3" numFmtId="0" xfId="0" applyAlignment="1" applyFill="1" applyFont="1">
      <alignment horizontal="center" vertical="center"/>
    </xf>
    <xf borderId="0" fillId="66" fontId="3" numFmtId="0" xfId="0" applyAlignment="1" applyFill="1" applyFont="1">
      <alignment horizontal="center" vertical="center"/>
    </xf>
    <xf borderId="0" fillId="67" fontId="3" numFmtId="0" xfId="0" applyAlignment="1" applyFill="1" applyFont="1">
      <alignment horizontal="center" vertical="center"/>
    </xf>
    <xf borderId="0" fillId="68" fontId="3" numFmtId="0" xfId="0" applyAlignment="1" applyFill="1" applyFont="1">
      <alignment horizontal="left" readingOrder="0" vertical="center"/>
    </xf>
    <xf borderId="0" fillId="66" fontId="3" numFmtId="0" xfId="0" applyAlignment="1" applyFont="1">
      <alignment horizontal="center" readingOrder="0" vertical="center"/>
    </xf>
    <xf borderId="0" fillId="69" fontId="3" numFmtId="0" xfId="0" applyAlignment="1" applyFill="1" applyFont="1">
      <alignment horizontal="left" readingOrder="0" shrinkToFit="0" vertical="center" wrapText="1"/>
    </xf>
    <xf borderId="0" fillId="45" fontId="3" numFmtId="0" xfId="0" applyAlignment="1" applyFont="1">
      <alignment horizontal="center" vertical="center"/>
    </xf>
    <xf borderId="0" fillId="70" fontId="2" numFmtId="0" xfId="0" applyAlignment="1" applyFill="1" applyFont="1">
      <alignment horizontal="center" textRotation="90" vertical="center"/>
    </xf>
    <xf borderId="0" fillId="68" fontId="9" numFmtId="0" xfId="0" applyAlignment="1" applyFont="1">
      <alignment readingOrder="0" vertical="center"/>
    </xf>
    <xf borderId="0" fillId="71" fontId="3" numFmtId="0" xfId="0" applyAlignment="1" applyFill="1" applyFont="1">
      <alignment horizontal="center" readingOrder="0" vertical="center"/>
    </xf>
    <xf borderId="0" fillId="68" fontId="3" numFmtId="0" xfId="0" applyAlignment="1" applyFont="1">
      <alignment horizontal="left" readingOrder="0" shrinkToFit="0" vertical="center" wrapText="1"/>
    </xf>
    <xf borderId="0" fillId="70" fontId="2" numFmtId="0" xfId="0" applyAlignment="1" applyFont="1">
      <alignment horizontal="center" readingOrder="0" textRotation="90" vertical="center"/>
    </xf>
    <xf borderId="0" fillId="65" fontId="3" numFmtId="0" xfId="0" applyAlignment="1" applyFont="1">
      <alignment horizontal="center" readingOrder="0" vertical="center"/>
    </xf>
    <xf borderId="0" fillId="67" fontId="3" numFmtId="0" xfId="0" applyAlignment="1" applyFont="1">
      <alignment horizontal="center" readingOrder="0" vertical="center"/>
    </xf>
    <xf borderId="0" fillId="58" fontId="2" numFmtId="0" xfId="0" applyAlignment="1" applyFont="1">
      <alignment horizontal="center" textRotation="90" vertical="center"/>
    </xf>
    <xf borderId="0" fillId="3" fontId="2" numFmtId="0" xfId="0" applyAlignment="1" applyFont="1">
      <alignment horizontal="center" textRotation="90" vertical="center"/>
    </xf>
    <xf borderId="0" fillId="61" fontId="21" numFmtId="0" xfId="0" applyAlignment="1" applyFont="1">
      <alignment horizontal="center" vertical="center"/>
    </xf>
    <xf borderId="0" fillId="68" fontId="3" numFmtId="0" xfId="0" applyAlignment="1" applyFont="1">
      <alignment horizontal="center" readingOrder="0" vertical="center"/>
    </xf>
    <xf borderId="0" fillId="62" fontId="22" numFmtId="0" xfId="0" applyAlignment="1" applyFont="1">
      <alignment horizontal="center" readingOrder="0" textRotation="0" vertical="center"/>
    </xf>
    <xf borderId="0" fillId="0" fontId="2" numFmtId="0" xfId="0" applyAlignment="1" applyFont="1">
      <alignment horizontal="center" readingOrder="0" vertical="center"/>
    </xf>
    <xf borderId="0" fillId="37" fontId="14" numFmtId="0" xfId="0" applyAlignment="1" applyFont="1">
      <alignment horizontal="center" readingOrder="0" textRotation="90" vertical="center"/>
    </xf>
    <xf borderId="0" fillId="45" fontId="9" numFmtId="0" xfId="0" applyAlignment="1" applyFont="1">
      <alignment horizontal="center" vertical="center"/>
    </xf>
    <xf borderId="0" fillId="44" fontId="3" numFmtId="0" xfId="0" applyAlignment="1" applyFont="1">
      <alignment horizontal="center" readingOrder="0" vertical="center"/>
    </xf>
    <xf borderId="0" fillId="72" fontId="9" numFmtId="0" xfId="0" applyAlignment="1" applyFill="1" applyFont="1">
      <alignment horizontal="center" readingOrder="0" vertical="center"/>
    </xf>
    <xf borderId="0" fillId="73" fontId="9" numFmtId="0" xfId="0" applyAlignment="1" applyFill="1" applyFont="1">
      <alignment horizontal="center" readingOrder="0" vertical="center"/>
    </xf>
    <xf borderId="0" fillId="72" fontId="9" numFmtId="0" xfId="0" applyAlignment="1" applyFont="1">
      <alignment horizontal="center" vertical="center"/>
    </xf>
    <xf borderId="0" fillId="51" fontId="9" numFmtId="0" xfId="0" applyAlignment="1" applyFont="1">
      <alignment readingOrder="0" vertical="center"/>
    </xf>
    <xf borderId="0" fillId="44" fontId="3" numFmtId="0" xfId="0" applyAlignment="1" applyFont="1">
      <alignment horizontal="center" vertical="center"/>
    </xf>
    <xf borderId="0" fillId="73" fontId="9" numFmtId="0" xfId="0" applyAlignment="1" applyFont="1">
      <alignment horizontal="center" vertical="center"/>
    </xf>
    <xf borderId="0" fillId="71" fontId="9" numFmtId="0" xfId="0" applyAlignment="1" applyFont="1">
      <alignment horizontal="center" vertical="center"/>
    </xf>
    <xf borderId="0" fillId="71" fontId="3" numFmtId="0" xfId="0" applyAlignment="1" applyFont="1">
      <alignment horizontal="center" vertical="center"/>
    </xf>
    <xf borderId="0" fillId="44" fontId="9" numFmtId="0" xfId="0" applyAlignment="1" applyFont="1">
      <alignment horizontal="center" readingOrder="0" vertical="center"/>
    </xf>
    <xf borderId="0" fillId="44" fontId="9" numFmtId="0" xfId="0" applyAlignment="1" applyFont="1">
      <alignment horizontal="center" vertical="center"/>
    </xf>
    <xf borderId="0" fillId="61" fontId="23" numFmtId="0" xfId="0" applyAlignment="1" applyFont="1">
      <alignment horizontal="center" vertical="center"/>
    </xf>
    <xf borderId="0" fillId="62" fontId="24" numFmtId="0" xfId="0" applyAlignment="1" applyFont="1">
      <alignment horizontal="center" readingOrder="0" textRotation="0" vertical="center"/>
    </xf>
    <xf borderId="0" fillId="74" fontId="3" numFmtId="0" xfId="0" applyAlignment="1" applyFill="1" applyFont="1">
      <alignment horizontal="center" readingOrder="0" vertical="center"/>
    </xf>
    <xf borderId="0" fillId="38" fontId="2" numFmtId="0" xfId="0" applyAlignment="1" applyFont="1">
      <alignment horizontal="center" vertical="center"/>
    </xf>
    <xf borderId="0" fillId="42" fontId="2" numFmtId="0" xfId="0" applyAlignment="1" applyFont="1">
      <alignment horizontal="center" textRotation="90" vertical="center"/>
    </xf>
    <xf borderId="0" fillId="43" fontId="3" numFmtId="0" xfId="0" applyAlignment="1" applyFont="1">
      <alignment horizontal="center" textRotation="90" vertical="center"/>
    </xf>
    <xf borderId="0" fillId="44" fontId="3" numFmtId="0" xfId="0" applyAlignment="1" applyFont="1">
      <alignment vertical="center"/>
    </xf>
    <xf borderId="0" fillId="75" fontId="2" numFmtId="0" xfId="0" applyAlignment="1" applyFill="1" applyFont="1">
      <alignment horizontal="center" vertical="center"/>
    </xf>
    <xf borderId="0" fillId="76" fontId="3" numFmtId="0" xfId="0" applyAlignment="1" applyFill="1" applyFont="1">
      <alignment horizontal="center" readingOrder="0" vertical="center"/>
    </xf>
    <xf borderId="0" fillId="50" fontId="2" numFmtId="0" xfId="0" applyAlignment="1" applyFont="1">
      <alignment horizontal="center" textRotation="90" vertical="center"/>
    </xf>
    <xf borderId="0" fillId="51" fontId="3" numFmtId="0" xfId="0" applyAlignment="1" applyFont="1">
      <alignment vertical="center"/>
    </xf>
    <xf borderId="0" fillId="70" fontId="2" numFmtId="0" xfId="0" applyAlignment="1" applyFont="1">
      <alignment horizontal="center" textRotation="90" vertical="center"/>
    </xf>
    <xf borderId="0" fillId="68" fontId="3" numFmtId="0" xfId="0" applyAlignment="1" applyFont="1">
      <alignment vertical="center"/>
    </xf>
    <xf borderId="0" fillId="52" fontId="2" numFmtId="0" xfId="0" applyAlignment="1" applyFont="1">
      <alignment horizontal="center" textRotation="90" vertical="center"/>
    </xf>
    <xf borderId="0" fillId="53" fontId="2" numFmtId="0" xfId="0" applyAlignment="1" applyFont="1">
      <alignment horizontal="center" textRotation="90" vertical="center"/>
    </xf>
    <xf borderId="0" fillId="54" fontId="3" numFmtId="0" xfId="0" applyAlignment="1" applyFont="1">
      <alignment vertical="center"/>
    </xf>
    <xf borderId="0" fillId="55" fontId="2" numFmtId="0" xfId="0" applyAlignment="1" applyFont="1">
      <alignment horizontal="center" textRotation="90" vertical="center"/>
    </xf>
    <xf borderId="0" fillId="56" fontId="3" numFmtId="0" xfId="0" applyAlignment="1" applyFont="1">
      <alignment vertical="center"/>
    </xf>
    <xf borderId="0" fillId="57" fontId="2" numFmtId="0" xfId="0" applyAlignment="1" applyFont="1">
      <alignment horizontal="center" textRotation="90" vertical="center"/>
    </xf>
    <xf borderId="0" fillId="58" fontId="2" numFmtId="0" xfId="0" applyAlignment="1" applyFont="1">
      <alignment horizontal="center" textRotation="90" vertical="center"/>
    </xf>
    <xf borderId="0" fillId="59" fontId="3" numFmtId="0" xfId="0" applyAlignment="1" applyFont="1">
      <alignment vertical="center"/>
    </xf>
    <xf borderId="0" fillId="3" fontId="2" numFmtId="0" xfId="0" applyAlignment="1" applyFont="1">
      <alignment horizontal="center" textRotation="90" vertical="center"/>
    </xf>
    <xf borderId="0" fillId="60" fontId="3" numFmtId="164" xfId="0" applyAlignment="1" applyFont="1" applyNumberFormat="1">
      <alignment vertical="center"/>
    </xf>
    <xf borderId="0" fillId="38" fontId="2" numFmtId="0" xfId="0" applyAlignment="1" applyFont="1">
      <alignment horizontal="center" vertical="center"/>
    </xf>
    <xf borderId="0" fillId="59" fontId="3" numFmtId="164" xfId="0" applyAlignment="1" applyFont="1" applyNumberFormat="1">
      <alignment vertical="center"/>
    </xf>
    <xf borderId="0" fillId="37" fontId="2" numFmtId="0" xfId="0" applyAlignment="1" applyFont="1">
      <alignment readingOrder="0"/>
    </xf>
    <xf borderId="0" fillId="77" fontId="3" numFmtId="0" xfId="0" applyAlignment="1" applyFill="1" applyFont="1">
      <alignment readingOrder="0"/>
    </xf>
    <xf borderId="0" fillId="77" fontId="3" numFmtId="165" xfId="0" applyAlignment="1" applyFont="1" applyNumberFormat="1">
      <alignment horizontal="left" readingOrder="0"/>
    </xf>
  </cellXfs>
  <cellStyles count="1">
    <cellStyle xfId="0" name="Normal" builtinId="0"/>
  </cellStyles>
  <dxfs count="50">
    <dxf>
      <font>
        <color rgb="FFFFFFFF"/>
      </font>
      <fill>
        <patternFill patternType="solid">
          <fgColor rgb="FFFF0000"/>
          <bgColor rgb="FFFF0000"/>
        </patternFill>
      </fill>
      <border/>
    </dxf>
    <dxf>
      <font/>
      <fill>
        <patternFill patternType="solid">
          <fgColor rgb="FFCAB148"/>
          <bgColor rgb="FFCAB148"/>
        </patternFill>
      </fill>
      <border/>
    </dxf>
    <dxf>
      <font/>
      <fill>
        <patternFill patternType="solid">
          <fgColor rgb="FFCBD9E6"/>
          <bgColor rgb="FFCBD9E6"/>
        </patternFill>
      </fill>
      <border/>
    </dxf>
    <dxf>
      <font/>
      <fill>
        <patternFill patternType="solid">
          <fgColor rgb="FFE4DAB0"/>
          <bgColor rgb="FFE4DAB0"/>
        </patternFill>
      </fill>
      <border/>
    </dxf>
    <dxf>
      <font/>
      <fill>
        <patternFill patternType="solid">
          <fgColor rgb="FFDCE5EC"/>
          <bgColor rgb="FFDCE5EC"/>
        </patternFill>
      </fill>
      <border/>
    </dxf>
    <dxf>
      <font/>
      <fill>
        <patternFill patternType="solid">
          <fgColor rgb="FFFCE5CD"/>
          <bgColor rgb="FFFCE5CD"/>
        </patternFill>
      </fill>
      <border/>
    </dxf>
    <dxf>
      <font/>
      <fill>
        <patternFill patternType="solid">
          <fgColor rgb="FFFF9900"/>
          <bgColor rgb="FFFF9900"/>
        </patternFill>
      </fill>
      <border/>
    </dxf>
    <dxf>
      <font/>
      <fill>
        <patternFill patternType="solid">
          <fgColor rgb="FFEFEFEF"/>
          <bgColor rgb="FFEFEFEF"/>
        </patternFill>
      </fill>
      <border/>
    </dxf>
    <dxf>
      <font/>
      <fill>
        <patternFill patternType="solid">
          <fgColor rgb="FF999999"/>
          <bgColor rgb="FF999999"/>
        </patternFill>
      </fill>
      <border/>
    </dxf>
    <dxf>
      <font/>
      <fill>
        <patternFill patternType="solid">
          <fgColor rgb="FFF6F2E4"/>
          <bgColor rgb="FFF6F2E4"/>
        </patternFill>
      </fill>
      <border/>
    </dxf>
    <dxf>
      <font/>
      <fill>
        <patternFill patternType="solid">
          <fgColor rgb="FFF3F6F8"/>
          <bgColor rgb="FFF3F6F8"/>
        </patternFill>
      </fill>
      <border/>
    </dxf>
    <dxf>
      <font/>
      <fill>
        <patternFill patternType="solid">
          <fgColor rgb="FFFEF6EE"/>
          <bgColor rgb="FFFEF6EE"/>
        </patternFill>
      </fill>
      <border/>
    </dxf>
    <dxf>
      <font/>
      <fill>
        <patternFill patternType="solid">
          <fgColor rgb="FFF9F9F9"/>
          <bgColor rgb="FFF9F9F9"/>
        </patternFill>
      </fill>
      <border/>
    </dxf>
    <dxf>
      <font>
        <color rgb="FFFFFFFF"/>
      </font>
      <fill>
        <patternFill patternType="solid">
          <fgColor rgb="FFCAB148"/>
          <bgColor rgb="FFCAB148"/>
        </patternFill>
      </fill>
      <border/>
    </dxf>
    <dxf>
      <font>
        <color rgb="FF000000"/>
      </font>
      <fill>
        <patternFill patternType="solid">
          <fgColor rgb="FFCBD9E6"/>
          <bgColor rgb="FFCBD9E6"/>
        </patternFill>
      </fill>
      <border/>
    </dxf>
    <dxf>
      <font>
        <color rgb="FFFFFFFF"/>
      </font>
      <fill>
        <patternFill patternType="solid">
          <fgColor rgb="FFFF9900"/>
          <bgColor rgb="FFFF9900"/>
        </patternFill>
      </fill>
      <border/>
    </dxf>
    <dxf>
      <font>
        <color rgb="FFFFFFFF"/>
      </font>
      <fill>
        <patternFill patternType="solid">
          <fgColor rgb="FF999999"/>
          <bgColor rgb="FF999999"/>
        </patternFill>
      </fill>
      <border/>
    </dxf>
    <dxf>
      <font>
        <color rgb="FF000000"/>
      </font>
      <fill>
        <patternFill patternType="none"/>
      </fill>
      <border/>
    </dxf>
    <dxf>
      <font>
        <color rgb="FFFFFFFF"/>
      </font>
      <fill>
        <patternFill patternType="solid">
          <fgColor rgb="FFEC44CA"/>
          <bgColor rgb="FFEC44CA"/>
        </patternFill>
      </fill>
      <border/>
    </dxf>
    <dxf>
      <font>
        <color rgb="FF000000"/>
      </font>
      <fill>
        <patternFill patternType="solid">
          <fgColor rgb="FF85FA85"/>
          <bgColor rgb="FF85FA85"/>
        </patternFill>
      </fill>
      <border/>
    </dxf>
    <dxf>
      <font>
        <color rgb="FF000000"/>
      </font>
      <fill>
        <patternFill patternType="solid">
          <fgColor rgb="FFB9F2FF"/>
          <bgColor rgb="FFB9F2FF"/>
        </patternFill>
      </fill>
      <border/>
    </dxf>
    <dxf>
      <font>
        <color rgb="FF000000"/>
      </font>
      <fill>
        <patternFill patternType="solid">
          <fgColor rgb="FF2FCFC2"/>
          <bgColor rgb="FF2FCFC2"/>
        </patternFill>
      </fill>
      <border/>
    </dxf>
    <dxf>
      <font/>
      <fill>
        <patternFill patternType="solid">
          <fgColor rgb="FFEC44CA"/>
          <bgColor rgb="FFEC44CA"/>
        </patternFill>
      </fill>
      <border/>
    </dxf>
    <dxf>
      <font/>
      <fill>
        <patternFill patternType="solid">
          <fgColor rgb="FF85FA85"/>
          <bgColor rgb="FF85FA85"/>
        </patternFill>
      </fill>
      <border/>
    </dxf>
    <dxf>
      <font/>
      <fill>
        <patternFill patternType="solid">
          <fgColor rgb="FFB9F2FF"/>
          <bgColor rgb="FFB9F2FF"/>
        </patternFill>
      </fill>
      <border/>
    </dxf>
    <dxf>
      <font/>
      <fill>
        <patternFill patternType="solid">
          <fgColor rgb="FF2FCFC2"/>
          <bgColor rgb="FF2FCFC2"/>
        </patternFill>
      </fill>
      <border/>
    </dxf>
    <dxf>
      <font/>
      <fill>
        <patternFill patternType="solid">
          <fgColor rgb="FFF8C0ED"/>
          <bgColor rgb="FFF8C0ED"/>
        </patternFill>
      </fill>
      <border/>
    </dxf>
    <dxf>
      <font/>
      <fill>
        <patternFill patternType="solid">
          <fgColor rgb="FFCEFDCE"/>
          <bgColor rgb="FFCEFDCE"/>
        </patternFill>
      </fill>
      <border/>
    </dxf>
    <dxf>
      <font/>
      <fill>
        <patternFill patternType="solid">
          <fgColor rgb="FFE7FAFF"/>
          <bgColor rgb="FFE7FAFF"/>
        </patternFill>
      </fill>
      <border/>
    </dxf>
    <dxf>
      <font/>
      <fill>
        <patternFill patternType="solid">
          <fgColor rgb="FFB9EFEA"/>
          <bgColor rgb="FFB9EFEA"/>
        </patternFill>
      </fill>
      <border/>
    </dxf>
    <dxf>
      <font/>
      <fill>
        <patternFill patternType="solid">
          <fgColor rgb="FFFCEAF9"/>
          <bgColor rgb="FFFCEAF9"/>
        </patternFill>
      </fill>
      <border/>
    </dxf>
    <dxf>
      <font/>
      <fill>
        <patternFill patternType="solid">
          <fgColor rgb="FFEEFEEE"/>
          <bgColor rgb="FFEEFEEE"/>
        </patternFill>
      </fill>
      <border/>
    </dxf>
    <dxf>
      <font/>
      <fill>
        <patternFill patternType="solid">
          <fgColor rgb="FFF7FDFF"/>
          <bgColor rgb="FFF7FDFF"/>
        </patternFill>
      </fill>
      <border/>
    </dxf>
    <dxf>
      <font/>
      <fill>
        <patternFill patternType="solid">
          <fgColor rgb="FFE7F9F8"/>
          <bgColor rgb="FFE7F9F8"/>
        </patternFill>
      </fill>
      <border/>
    </dxf>
    <dxf>
      <font>
        <color rgb="FF000000"/>
      </font>
      <fill>
        <patternFill patternType="solid">
          <fgColor rgb="FF000000"/>
          <bgColor rgb="FF000000"/>
        </patternFill>
      </fill>
      <border/>
    </dxf>
    <dxf>
      <font/>
      <fill>
        <patternFill patternType="solid">
          <fgColor rgb="FFFF2262"/>
          <bgColor rgb="FFFF2262"/>
        </patternFill>
      </fill>
      <border/>
    </dxf>
    <dxf>
      <font/>
      <fill>
        <patternFill patternType="solid">
          <fgColor rgb="FF7900FF"/>
          <bgColor rgb="FF7900FF"/>
        </patternFill>
      </fill>
      <border/>
    </dxf>
    <dxf>
      <font/>
      <fill>
        <patternFill patternType="solid">
          <fgColor rgb="FFFFD700"/>
          <bgColor rgb="FFFFD700"/>
        </patternFill>
      </fill>
      <border/>
    </dxf>
    <dxf>
      <font>
        <color rgb="FFFFFFFF"/>
      </font>
      <fill>
        <patternFill patternType="solid">
          <fgColor rgb="FF000000"/>
          <bgColor rgb="FF000000"/>
        </patternFill>
      </fill>
      <border/>
    </dxf>
    <dxf>
      <font>
        <color rgb="FFFFFFFF"/>
      </font>
      <fill>
        <patternFill patternType="solid">
          <fgColor rgb="FFFF2262"/>
          <bgColor rgb="FFFF2262"/>
        </patternFill>
      </fill>
      <border/>
    </dxf>
    <dxf>
      <font>
        <color rgb="FFFFFFFF"/>
      </font>
      <fill>
        <patternFill patternType="solid">
          <fgColor rgb="FF7900FF"/>
          <bgColor rgb="FF7900FF"/>
        </patternFill>
      </fill>
      <border/>
    </dxf>
    <dxf>
      <font>
        <color rgb="FF000000"/>
      </font>
      <fill>
        <patternFill patternType="solid">
          <fgColor rgb="FFFFD700"/>
          <bgColor rgb="FFFFD700"/>
        </patternFill>
      </fill>
      <border/>
    </dxf>
    <dxf>
      <font>
        <color rgb="FFFFFFFF"/>
      </font>
      <fill>
        <patternFill patternType="solid">
          <fgColor rgb="FF666666"/>
          <bgColor rgb="FF666666"/>
        </patternFill>
      </fill>
      <border/>
    </dxf>
    <dxf>
      <font>
        <color rgb="FF000000"/>
      </font>
      <fill>
        <patternFill patternType="solid">
          <fgColor rgb="FFFFB6CB"/>
          <bgColor rgb="FFFFB6CB"/>
        </patternFill>
      </fill>
      <border/>
    </dxf>
    <dxf>
      <font>
        <color rgb="FF000000"/>
      </font>
      <fill>
        <patternFill patternType="solid">
          <fgColor rgb="FFE0C5FF"/>
          <bgColor rgb="FFE0C5FF"/>
        </patternFill>
      </fill>
      <border/>
    </dxf>
    <dxf>
      <font>
        <color rgb="FF000000"/>
      </font>
      <fill>
        <patternFill patternType="solid">
          <fgColor rgb="FFFFF1AA"/>
          <bgColor rgb="FFFFF1AA"/>
        </patternFill>
      </fill>
      <border/>
    </dxf>
    <dxf>
      <font>
        <color rgb="FFFFFFFF"/>
      </font>
      <fill>
        <patternFill patternType="solid">
          <fgColor rgb="FF2A2A2A"/>
          <bgColor rgb="FF2A2A2A"/>
        </patternFill>
      </fill>
      <border/>
    </dxf>
    <dxf>
      <font>
        <color rgb="FF2A2A2A"/>
      </font>
      <fill>
        <patternFill patternType="solid">
          <fgColor rgb="FFFF89AA"/>
          <bgColor rgb="FFFF89AA"/>
        </patternFill>
      </fill>
      <border/>
    </dxf>
    <dxf>
      <font>
        <color rgb="FF000000"/>
      </font>
      <fill>
        <patternFill patternType="solid">
          <fgColor rgb="FFC089FF"/>
          <bgColor rgb="FFC089FF"/>
        </patternFill>
      </fill>
      <border/>
    </dxf>
    <dxf>
      <font/>
      <fill>
        <patternFill patternType="solid">
          <fgColor rgb="FFFFF1AA"/>
          <bgColor rgb="FFFFF1A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vestopedia.com/terms/h/harmonicaverage.asp" TargetMode="External"/><Relationship Id="rId2" Type="http://schemas.openxmlformats.org/officeDocument/2006/relationships/hyperlink" Target="http://twitter.com/voltaicaim" TargetMode="External"/><Relationship Id="rId3" Type="http://schemas.openxmlformats.org/officeDocument/2006/relationships/hyperlink" Target="https://www.youtube.com/@voltaicai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discord.gg/voltaic"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discord.gg/voltaic"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discord.gg/voltaic" TargetMode="External"/><Relationship Id="rId3" Type="http://schemas.openxmlformats.org/officeDocument/2006/relationships/drawing" Target="../drawings/drawing4.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900FF"/>
    <outlinePr summaryBelow="0" summaryRight="0"/>
  </sheetPr>
  <sheetViews>
    <sheetView workbookViewId="0"/>
  </sheetViews>
  <sheetFormatPr customHeight="1" defaultColWidth="12.63" defaultRowHeight="15.75"/>
  <cols>
    <col customWidth="1" min="1" max="1" width="19.75"/>
  </cols>
  <sheetData>
    <row r="1" ht="60.0" customHeight="1">
      <c r="A1" s="1" t="s">
        <v>0</v>
      </c>
    </row>
    <row r="2" ht="22.5" customHeight="1">
      <c r="A2" s="2" t="s">
        <v>1</v>
      </c>
    </row>
    <row r="3" ht="22.5" customHeight="1">
      <c r="A3" s="3" t="s">
        <v>2</v>
      </c>
    </row>
    <row r="4" ht="22.5" customHeight="1">
      <c r="A4" s="3" t="s">
        <v>3</v>
      </c>
    </row>
    <row r="5" ht="22.5" customHeight="1">
      <c r="A5" s="3" t="s">
        <v>4</v>
      </c>
    </row>
    <row r="6" ht="22.5" customHeight="1">
      <c r="A6" s="3" t="s">
        <v>5</v>
      </c>
    </row>
    <row r="7" ht="22.5" customHeight="1">
      <c r="A7" s="4" t="s">
        <v>6</v>
      </c>
    </row>
    <row r="8" ht="22.5" customHeight="1">
      <c r="A8" s="4" t="s">
        <v>7</v>
      </c>
    </row>
    <row r="9" ht="22.5" customHeight="1">
      <c r="A9" s="4" t="s">
        <v>8</v>
      </c>
    </row>
    <row r="10" ht="22.5" customHeight="1">
      <c r="A10" s="5" t="s">
        <v>9</v>
      </c>
    </row>
    <row r="11" ht="22.5" customHeight="1">
      <c r="A11" s="4" t="s">
        <v>10</v>
      </c>
    </row>
    <row r="12" ht="22.5" customHeight="1">
      <c r="A12" s="4" t="s">
        <v>11</v>
      </c>
    </row>
    <row r="13" ht="22.5" customHeight="1">
      <c r="A13" s="4" t="s">
        <v>12</v>
      </c>
    </row>
    <row r="14" ht="22.5" customHeight="1">
      <c r="A14" s="4" t="s">
        <v>13</v>
      </c>
    </row>
    <row r="15" ht="24.75" customHeight="1">
      <c r="A15" s="6" t="s">
        <v>14</v>
      </c>
      <c r="B15" s="7" t="s">
        <v>15</v>
      </c>
      <c r="C15" s="8"/>
      <c r="D15" s="8"/>
      <c r="E15" s="8"/>
      <c r="F15" s="9" t="s">
        <v>16</v>
      </c>
      <c r="G15" s="10"/>
      <c r="H15" s="10"/>
      <c r="I15" s="10"/>
      <c r="J15" s="11" t="s">
        <v>17</v>
      </c>
      <c r="K15" s="12"/>
      <c r="L15" s="12"/>
      <c r="M15" s="12"/>
    </row>
    <row r="16" ht="25.5" customHeight="1">
      <c r="A16" s="13"/>
      <c r="B16" s="14" t="s">
        <v>18</v>
      </c>
      <c r="C16" s="13"/>
      <c r="D16" s="13"/>
      <c r="E16" s="13"/>
      <c r="F16" s="15" t="s">
        <v>19</v>
      </c>
      <c r="G16" s="13"/>
      <c r="H16" s="13"/>
      <c r="I16" s="13"/>
      <c r="J16" s="16" t="s">
        <v>20</v>
      </c>
      <c r="K16" s="13"/>
      <c r="L16" s="13"/>
      <c r="M16" s="13"/>
    </row>
    <row r="17" ht="25.5" customHeight="1">
      <c r="A17" s="17" t="s">
        <v>21</v>
      </c>
      <c r="B17" s="18" t="str">
        <f>IFERROR(__xludf.DUMMYFUNCTION("importrange(""https://docs.google.com/spreadsheets/d/10ck-sXoSgAYeiVI9iaaWwSqxC7KoxNO-2AtO08C-eCw"", ""Benchmarks!D3:G4"")"),"Iron")</f>
        <v>Iron</v>
      </c>
      <c r="C17" s="19" t="str">
        <f>IFERROR(__xludf.DUMMYFUNCTION("""COMPUTED_VALUE"""),"Bronze")</f>
        <v>Bronze</v>
      </c>
      <c r="D17" s="20" t="str">
        <f>IFERROR(__xludf.DUMMYFUNCTION("""COMPUTED_VALUE"""),"Silver")</f>
        <v>Silver</v>
      </c>
      <c r="E17" s="21" t="str">
        <f>IFERROR(__xludf.DUMMYFUNCTION("""COMPUTED_VALUE"""),"Gold")</f>
        <v>Gold</v>
      </c>
      <c r="F17" s="22" t="str">
        <f>IFERROR(__xludf.DUMMYFUNCTION("importrange(""https://docs.google.com/spreadsheets/d/10ck-sXoSgAYeiVI9iaaWwSqxC7KoxNO-2AtO08C-eCw"", ""Benchmarks!K3:N4"")"),"Platinum")</f>
        <v>Platinum</v>
      </c>
      <c r="G17" s="23" t="str">
        <f>IFERROR(__xludf.DUMMYFUNCTION("""COMPUTED_VALUE"""),"Diamond")</f>
        <v>Diamond</v>
      </c>
      <c r="H17" s="24" t="str">
        <f>IFERROR(__xludf.DUMMYFUNCTION("""COMPUTED_VALUE"""),"Jade")</f>
        <v>Jade</v>
      </c>
      <c r="I17" s="25" t="str">
        <f>IFERROR(__xludf.DUMMYFUNCTION("""COMPUTED_VALUE"""),"Master")</f>
        <v>Master</v>
      </c>
      <c r="J17" s="26" t="str">
        <f>IFERROR(__xludf.DUMMYFUNCTION("importrange(""https://docs.google.com/spreadsheets/d/10ck-sXoSgAYeiVI9iaaWwSqxC7KoxNO-2AtO08C-eCw"", ""Benchmarks!R3:U4"")"),"Grandmaster")</f>
        <v>Grandmaster</v>
      </c>
      <c r="K17" s="27" t="str">
        <f>IFERROR(__xludf.DUMMYFUNCTION("""COMPUTED_VALUE"""),"Nova")</f>
        <v>Nova</v>
      </c>
      <c r="L17" s="28" t="str">
        <f>IFERROR(__xludf.DUMMYFUNCTION("""COMPUTED_VALUE"""),"Astra")</f>
        <v>Astra</v>
      </c>
      <c r="M17" s="29" t="str">
        <f>IFERROR(__xludf.DUMMYFUNCTION("""COMPUTED_VALUE"""),"Celestial")</f>
        <v>Celestial</v>
      </c>
    </row>
    <row r="18" ht="25.5" customHeight="1">
      <c r="A18" s="30" t="s">
        <v>22</v>
      </c>
      <c r="B18" s="31">
        <f>IFERROR(__xludf.DUMMYFUNCTION("""COMPUTED_VALUE"""),100.0)</f>
        <v>100</v>
      </c>
      <c r="C18" s="32">
        <f>IFERROR(__xludf.DUMMYFUNCTION("""COMPUTED_VALUE"""),200.0)</f>
        <v>200</v>
      </c>
      <c r="D18" s="33">
        <f>IFERROR(__xludf.DUMMYFUNCTION("""COMPUTED_VALUE"""),300.0)</f>
        <v>300</v>
      </c>
      <c r="E18" s="34">
        <f>IFERROR(__xludf.DUMMYFUNCTION("""COMPUTED_VALUE"""),400.0)</f>
        <v>400</v>
      </c>
      <c r="F18" s="35">
        <f>IFERROR(__xludf.DUMMYFUNCTION("""COMPUTED_VALUE"""),500.0)</f>
        <v>500</v>
      </c>
      <c r="G18" s="36">
        <f>IFERROR(__xludf.DUMMYFUNCTION("""COMPUTED_VALUE"""),600.0)</f>
        <v>600</v>
      </c>
      <c r="H18" s="37">
        <f>IFERROR(__xludf.DUMMYFUNCTION("""COMPUTED_VALUE"""),700.0)</f>
        <v>700</v>
      </c>
      <c r="I18" s="38">
        <f>IFERROR(__xludf.DUMMYFUNCTION("""COMPUTED_VALUE"""),800.0)</f>
        <v>800</v>
      </c>
      <c r="J18" s="39">
        <f>IFERROR(__xludf.DUMMYFUNCTION("""COMPUTED_VALUE"""),900.0)</f>
        <v>900</v>
      </c>
      <c r="K18" s="40">
        <f>IFERROR(__xludf.DUMMYFUNCTION("""COMPUTED_VALUE"""),1000.0)</f>
        <v>1000</v>
      </c>
      <c r="L18" s="41">
        <f>IFERROR(__xludf.DUMMYFUNCTION("""COMPUTED_VALUE"""),1100.0)</f>
        <v>1100</v>
      </c>
      <c r="M18" s="42">
        <f>IFERROR(__xludf.DUMMYFUNCTION("""COMPUTED_VALUE"""),1200.0)</f>
        <v>1200</v>
      </c>
    </row>
    <row r="19" ht="25.5" customHeight="1">
      <c r="A19" s="43" t="str">
        <f>IFERROR(__xludf.DUMMYFUNCTION("if(importrange(""https://docs.google.com/spreadsheets/d/1qUzF2KHcfs_FgsaDFRfGsLgHhoC1Md5bzMOUbsYzSjg"", ""Changelog!A2:A2"")=indirect(""Changelog!A2""), concatenate(""Sheet Version: "", Changelog!A2), hyperlink(""https://docs.google.com/spreadsheets/d/1qU"&amp;"zF2KHcfs_FgsaDFRfGsLgHhoC1Md5bzMOUbsYzSjg"", ""Outdated version, click link &amp; make a new copy!""))"),"Sheet Version: 1.2.9")</f>
        <v>Sheet Version: 1.2.9</v>
      </c>
    </row>
    <row r="20" ht="25.5" customHeight="1">
      <c r="A20" s="44" t="s">
        <v>23</v>
      </c>
      <c r="B20" s="45" t="str">
        <f>HYPERLINK("https://voltaic.gg/", "Website↗")</f>
        <v>Website↗</v>
      </c>
      <c r="D20" s="45" t="str">
        <f>HYPERLINK("http://discord.gg/voltaic","Discord↗")</f>
        <v>Discord↗</v>
      </c>
      <c r="F20" s="46" t="s">
        <v>24</v>
      </c>
      <c r="H20" s="46" t="s">
        <v>25</v>
      </c>
      <c r="J20" s="45" t="str">
        <f>HYPERLINK("https://bit.ly/VTxKvKsGuide","Guide↗")
</f>
        <v>Guide↗</v>
      </c>
      <c r="L20" s="45" t="str">
        <f>HYPERLINK("https://docs.google.com/document/d/1omExq_y4ld9vkvbTFkLdjlT5UwQpvYSgyk5PgA7nrzM/edit?usp=sharing","Rules↗")</f>
        <v>Rules↗</v>
      </c>
    </row>
    <row r="21" ht="25.5" customHeight="1"/>
  </sheetData>
  <mergeCells count="29">
    <mergeCell ref="A1:M1"/>
    <mergeCell ref="A2:M2"/>
    <mergeCell ref="A3:M3"/>
    <mergeCell ref="A4:M4"/>
    <mergeCell ref="A5:M5"/>
    <mergeCell ref="A6:M6"/>
    <mergeCell ref="A7:M7"/>
    <mergeCell ref="A8:M8"/>
    <mergeCell ref="A9:M9"/>
    <mergeCell ref="A10:M10"/>
    <mergeCell ref="A11:M11"/>
    <mergeCell ref="A12:M12"/>
    <mergeCell ref="A13:M13"/>
    <mergeCell ref="A14:M14"/>
    <mergeCell ref="A15:A16"/>
    <mergeCell ref="A20:A21"/>
    <mergeCell ref="B20:C21"/>
    <mergeCell ref="D20:E21"/>
    <mergeCell ref="F20:G21"/>
    <mergeCell ref="H20:I21"/>
    <mergeCell ref="J20:K21"/>
    <mergeCell ref="L20:M21"/>
    <mergeCell ref="B15:E15"/>
    <mergeCell ref="F15:I15"/>
    <mergeCell ref="J15:M15"/>
    <mergeCell ref="B16:E16"/>
    <mergeCell ref="F16:I16"/>
    <mergeCell ref="J16:M16"/>
    <mergeCell ref="A19:M19"/>
  </mergeCells>
  <conditionalFormatting sqref="A19:M19">
    <cfRule type="containsText" dxfId="0" priority="1" operator="containsText" text="Outdated">
      <formula>NOT(ISERROR(SEARCH(("Outdated"),(A19))))</formula>
    </cfRule>
  </conditionalFormatting>
  <hyperlinks>
    <hyperlink r:id="rId1" location=":~:text=The%20harmonic%20mean%20is%20a,arithmetic%20mean%20of%20the%20reciprocals." ref="A10"/>
    <hyperlink display="Click to navigate to the Novice Benchmarks" location="Novice!A1" ref="B15"/>
    <hyperlink display="Click to navigate to the Intermediate Benchmarks" location="Intermediate!A1" ref="F15"/>
    <hyperlink display="Click to navigate to the Advanced Benchmarks" location="Advanced!A1" ref="J15"/>
    <hyperlink r:id="rId2" ref="F20"/>
    <hyperlink r:id="rId3" ref="H2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56F"/>
    <outlinePr summaryBelow="0" summaryRight="0"/>
  </sheetPr>
  <sheetViews>
    <sheetView workbookViewId="0"/>
  </sheetViews>
  <sheetFormatPr customHeight="1" defaultColWidth="12.63" defaultRowHeight="15.75"/>
  <cols>
    <col customWidth="1" min="1" max="1" width="2.75"/>
    <col customWidth="1" min="2" max="2" width="2.63"/>
    <col customWidth="1" min="3" max="3" width="22.63"/>
    <col customWidth="1" min="4" max="4" width="0.38"/>
    <col customWidth="1" min="5" max="6" width="9.5"/>
    <col customWidth="1" min="7" max="7" width="6.38"/>
    <col customWidth="1" min="8" max="8" width="0.38"/>
    <col customWidth="1" min="9" max="10" width="9.5"/>
    <col customWidth="1" min="11" max="11" width="6.38"/>
    <col customWidth="1" min="12" max="15" width="11.0"/>
    <col customWidth="1" min="16" max="16" width="79.75"/>
  </cols>
  <sheetData>
    <row r="1" ht="22.5" customHeight="1">
      <c r="A1" s="47" t="s">
        <v>26</v>
      </c>
      <c r="D1" s="48" t="str">
        <f t="array" ref="D1">concatenate(choose(match(G2, {0, L2:O2}), "Unranked", L1, M1, N1, O1), if(and(E3:E14 &gt;= choose(match(G2, {0, L2:O2}), 1E+99, L3:L14, M3:M14, N3:N14, O3:O14)), " Complete", ""))</f>
        <v>Unranked</v>
      </c>
      <c r="G1" s="49" t="s">
        <v>27</v>
      </c>
      <c r="H1" s="50" t="str">
        <f t="array" ref="H1">concatenate(choose(match(K2, {0, L2:O2}), "Unranked", L1, M1, N1, O1), if(and(I3:I14 &gt;= choose(match(K2, {0, L2:O2}), 1E+99, L3:L14, M3:M14, N3:N14, O3:O14)), " Complete", ""))</f>
        <v>Unranked</v>
      </c>
      <c r="K1" s="49" t="s">
        <v>27</v>
      </c>
      <c r="L1" s="18" t="str">
        <f>IFERROR(__xludf.DUMMYFUNCTION("importrange(""https://docs.google.com/spreadsheets/d/10ck-sXoSgAYeiVI9iaaWwSqxC7KoxNO-2AtO08C-eCw"", ""Benchmarks!D3:G16"")"),"Iron")</f>
        <v>Iron</v>
      </c>
      <c r="M1" s="19" t="str">
        <f>IFERROR(__xludf.DUMMYFUNCTION("""COMPUTED_VALUE"""),"Bronze")</f>
        <v>Bronze</v>
      </c>
      <c r="N1" s="20" t="str">
        <f>IFERROR(__xludf.DUMMYFUNCTION("""COMPUTED_VALUE"""),"Silver")</f>
        <v>Silver</v>
      </c>
      <c r="O1" s="21" t="str">
        <f>IFERROR(__xludf.DUMMYFUNCTION("""COMPUTED_VALUE"""),"Gold")</f>
        <v>Gold</v>
      </c>
      <c r="P1" s="2" t="s">
        <v>28</v>
      </c>
    </row>
    <row r="2" ht="22.5" customHeight="1">
      <c r="A2" s="51"/>
      <c r="B2" s="52"/>
      <c r="C2" s="53" t="s">
        <v>29</v>
      </c>
      <c r="D2" s="53"/>
      <c r="E2" s="53" t="s">
        <v>30</v>
      </c>
      <c r="F2" s="53" t="s">
        <v>31</v>
      </c>
      <c r="G2" s="54">
        <f>iferror(trunc(harmean(G3:G13)), 0)</f>
        <v>0</v>
      </c>
      <c r="H2" s="55"/>
      <c r="I2" s="53" t="s">
        <v>32</v>
      </c>
      <c r="J2" s="53" t="s">
        <v>31</v>
      </c>
      <c r="K2" s="54">
        <f>iferror(trunc(harmean(K3:K13)), 0)</f>
        <v>0</v>
      </c>
      <c r="L2" s="31">
        <f>IFERROR(__xludf.DUMMYFUNCTION("""COMPUTED_VALUE"""),100.0)</f>
        <v>100</v>
      </c>
      <c r="M2" s="32">
        <f>IFERROR(__xludf.DUMMYFUNCTION("""COMPUTED_VALUE"""),200.0)</f>
        <v>200</v>
      </c>
      <c r="N2" s="56">
        <f>IFERROR(__xludf.DUMMYFUNCTION("""COMPUTED_VALUE"""),300.0)</f>
        <v>300</v>
      </c>
      <c r="O2" s="34">
        <f>IFERROR(__xludf.DUMMYFUNCTION("""COMPUTED_VALUE"""),400.0)</f>
        <v>400</v>
      </c>
      <c r="P2" s="57" t="s">
        <v>33</v>
      </c>
    </row>
    <row r="3" ht="30.0" customHeight="1">
      <c r="A3" s="58" t="s">
        <v>34</v>
      </c>
      <c r="B3" s="59" t="s">
        <v>35</v>
      </c>
      <c r="C3" s="60" t="str">
        <f>IFERROR(__xludf.DUMMYFUNCTION("importrange(""https://docs.google.com/spreadsheets/d/10ck-sXoSgAYeiVI9iaaWwSqxC7KoxNO-2AtO08C-eCw/"", ""Benchmarks!C5:C18"")")," VT Pasu Rasp Novice")</f>
        <v> VT Pasu Rasp Novice</v>
      </c>
      <c r="D3" s="50"/>
      <c r="E3" s="61"/>
      <c r="F3" s="62" t="str">
        <f>IFERROR(__xludf.DUMMYFUNCTION("sparkline(
  E3 - choose(match(E3, {0, L3:O3}), 0, L3, M3, N3, O3),
  {
    ""charttype"", ""bar"";    
    ""max"", choose(match(E3, {0, L3:O3}), L3, M3-L3, N3-M3, O3-N3, 0);
    ""nan"", ""ignore"";
    ""color1"", iferror(choose(match(E3, {0, L3:O3}),
"&amp;"      ""#999999"",
      ""#ff9900"",
      ""#cbd9e6"",
      ""#cab148"",
      ""#e5d9b4""
    ))
  }
)
"),"")</f>
        <v/>
      </c>
      <c r="G3" s="63">
        <f t="array" ref="G3">trunc(min(Intermediate!L$2, max(
choose(match(E3, {0, L3:O3}), 0, L$2, M$2, N$2, O$2)
 + (E3 - choose(match(E3, {0, L3:O3}), 0, L3, M3, N3, O3))
 / choose(match(E3, {0, L3:O3}), L3, M3-L3, N3-M3, O3-N3, O3-N3)
 * choose(match(E3, {0, L3:O3}), L$2, M$2-L$2, N$2-M$2, O$2-N$2, O$2-N$2),
 choose(match(E4, {0, L4:O4}), 0, L$2, M$2, N$2, O$2)
 + (E4 - choose(match(E4, {0, L4:O4}), 0, L4, M4, N4, O4))
 / choose(match(E4, {0, L4:O4}), L4, M4-L4, N4-M4, O4-N4, O4-N4)
 * choose(match(E4, {0, L4:O4}), L$2, M$2-L$2, N$2-M$2, O$2-N$2, O$2-N$2)
)))</f>
        <v>0</v>
      </c>
      <c r="H3" s="64"/>
      <c r="I3" s="61" t="str">
        <f>'Average Input'!D39</f>
        <v/>
      </c>
      <c r="J3" s="64" t="str">
        <f>IFERROR(__xludf.DUMMYFUNCTION("sparkline(
  I3 - choose(match(I3, {0, L3:O3}), 0, L3, M3, N3, O3),
  {
    ""charttype"", ""bar"";    
    ""max"", choose(match(I3, {0, L3:O3}), L3, M3-L3, N3-M3, O3-N3, 0);
    ""nan"", ""ignore"";
    ""color1"", iferror(choose(match(I3, {0, L3:O3}),
"&amp;"      ""#999999"",
      ""#ff9900"",
      ""#cbd9e6"",
      ""#cab148"",
      ""#e5d9b4""
    ))
  }
)
"),"")</f>
        <v/>
      </c>
      <c r="K3" s="63">
        <f t="array" ref="K3">trunc(min(Intermediate!L$2, max(
choose(match(I3, {0, L3:O3}), 0, L$2, M$2, N$2, O$2)
 + (I3 - choose(match(I3, {0, L3:O3}), 0, L3, M3, N3, O3))
 / choose(match(I3, {0, L3:O3}), L3, M3-L3, N3-M3, O3-N3, O3-N3)
 * choose(match(I3, {0, L3:O3}), L$2, M$2-L$2, N$2-M$2, O$2-N$2, O$2-N$2),
 choose(match(I4, {0, L4:O4}), 0, L$2, M$2, N$2, O$2)
 + (I4 - choose(match(I4, {0, L4:O4}), 0, L4, M4, N4, O4))
 / choose(match(I4, {0, L4:O4}), L4, M4-L4, N4-M4, O4-N4, O4-N4)
 * choose(match(I4, {0, L4:O4}), L$2, M$2-L$2, N$2-M$2, O$2-N$2, O$2-N$2)
)))</f>
        <v>0</v>
      </c>
      <c r="L3" s="65">
        <f>IFERROR(__xludf.DUMMYFUNCTION("""COMPUTED_VALUE"""),550.0)</f>
        <v>550</v>
      </c>
      <c r="M3" s="66">
        <f>IFERROR(__xludf.DUMMYFUNCTION("""COMPUTED_VALUE"""),650.0)</f>
        <v>650</v>
      </c>
      <c r="N3" s="67">
        <f>IFERROR(__xludf.DUMMYFUNCTION("""COMPUTED_VALUE"""),750.0)</f>
        <v>750</v>
      </c>
      <c r="O3" s="68">
        <f>IFERROR(__xludf.DUMMYFUNCTION("""COMPUTED_VALUE"""),850.0)</f>
        <v>850</v>
      </c>
      <c r="P3" s="69" t="s">
        <v>36</v>
      </c>
    </row>
    <row r="4" ht="30.0" customHeight="1">
      <c r="C4" s="60" t="str">
        <f>IFERROR(__xludf.DUMMYFUNCTION("""COMPUTED_VALUE""")," VT Bounceshot Novice")</f>
        <v> VT Bounceshot Novice</v>
      </c>
      <c r="D4" s="50"/>
      <c r="E4" s="61"/>
      <c r="F4" s="62" t="str">
        <f>IFERROR(__xludf.DUMMYFUNCTION("sparkline(
  E4 - choose(match(E4, {0, L4:O4}), 0, L4, M4, N4, O4),
  {
    ""charttype"", ""bar"";    
    ""max"", choose(match(E4, {0, L4:O4}), L4, M4-L4, N4-M4, O4-N4, 0);
    ""nan"", ""ignore"";
    ""color1"", iferror(choose(match(E4, {0, L4:O4}),
"&amp;"      ""#999999"",
      ""#ff9900"",
      ""#cbd9e6"",
      ""#cab148"",
      ""#e5d9b4""
    ))
  }
)
"),"")</f>
        <v/>
      </c>
      <c r="H4" s="64"/>
      <c r="I4" s="61" t="str">
        <f>'Average Input'!D40</f>
        <v/>
      </c>
      <c r="J4" s="64" t="str">
        <f>IFERROR(__xludf.DUMMYFUNCTION("sparkline(
  I4 - choose(match(I4, {0, L4:O4}), 0, L4, M4, N4, O4),
  {
    ""charttype"", ""bar"";    
    ""max"", choose(match(I4, {0, L4:O4}), L4, M4-L4, N4-M4, O4-N4, 0);
    ""nan"", ""ignore"";
    ""color1"", iferror(choose(match(I4, {0, L4:O4}),
"&amp;"      ""#999999"",
      ""#ff9900"",
      ""#cbd9e6"",
      ""#cab148"",
      ""#e5d9b4""
    ))
  }
)
"),"")</f>
        <v/>
      </c>
      <c r="L4" s="65">
        <f>IFERROR(__xludf.DUMMYFUNCTION("""COMPUTED_VALUE"""),500.0)</f>
        <v>500</v>
      </c>
      <c r="M4" s="66">
        <f>IFERROR(__xludf.DUMMYFUNCTION("""COMPUTED_VALUE"""),600.0)</f>
        <v>600</v>
      </c>
      <c r="N4" s="67">
        <f>IFERROR(__xludf.DUMMYFUNCTION("""COMPUTED_VALUE"""),700.0)</f>
        <v>700</v>
      </c>
      <c r="O4" s="68">
        <f>IFERROR(__xludf.DUMMYFUNCTION("""COMPUTED_VALUE"""),800.0)</f>
        <v>800</v>
      </c>
    </row>
    <row r="5" ht="30.0" customHeight="1">
      <c r="B5" s="70" t="s">
        <v>37</v>
      </c>
      <c r="C5" s="71" t="str">
        <f>IFERROR(__xludf.DUMMYFUNCTION("""COMPUTED_VALUE""")," VT 1w6ts Rasp Novice")</f>
        <v> VT 1w6ts Rasp Novice</v>
      </c>
      <c r="D5" s="50"/>
      <c r="E5" s="61"/>
      <c r="F5" s="62" t="str">
        <f>IFERROR(__xludf.DUMMYFUNCTION("sparkline(
  E5 - choose(match(E5, {0, L5:O5}), 0, L5, M5, N5, O5),
  {
    ""charttype"", ""bar"";    
    ""max"", choose(match(E5, {0, L5:O5}), L5, M5-L5, N5-M5, O5-N5, 0);
    ""nan"", ""ignore"";
    ""color1"", iferror(choose(match(E5, {0, L5:O5}),
"&amp;"      ""#999999"",
      ""#ff9900"",
      ""#cbd9e6"",
      ""#cab148"",
      ""#e5d9b4""
    ))
  }
)
"),"")</f>
        <v/>
      </c>
      <c r="G5" s="63">
        <f t="array" ref="G5">trunc(min(Intermediate!L$2, max(
choose(match(E5, {0, L5:O5}), 0, L$2, M$2, N$2, O$2)
 + (E5 - choose(match(E5, {0, L5:O5}), 0, L5, M5, N5, O5))
 / choose(match(E5, {0, L5:O5}), L5, M5-L5, N5-M5, O5-N5, O5-N5)
 * choose(match(E5, {0, L5:O5}), L$2, M$2-L$2, N$2-M$2, O$2-N$2, O$2-N$2),
 choose(match(E6, {0, L6:O6}), 0, L$2, M$2, N$2, O$2)
 + (E6 - choose(match(E6, {0, L6:O6}), 0, L6, M6, N6, O6))
 / choose(match(E6, {0, L6:O6}), L6, M6-L6, N6-M6, O6-N6, O6-N6)
 * choose(match(E6, {0, L6:O6}), L$2, M$2-L$2, N$2-M$2, O$2-N$2, O$2-N$2)
)))</f>
        <v>0</v>
      </c>
      <c r="H5" s="64"/>
      <c r="I5" s="61" t="str">
        <f>'Average Input'!D41</f>
        <v/>
      </c>
      <c r="J5" s="64" t="str">
        <f>IFERROR(__xludf.DUMMYFUNCTION("sparkline(
  I5 - choose(match(I5, {0, L5:O5}), 0, L5, M5, N5, O5),
  {
    ""charttype"", ""bar"";    
    ""max"", choose(match(I5, {0, L5:O5}), L5, M5-L5, N5-M5, O5-N5, 0);
    ""nan"", ""ignore"";
    ""color1"", iferror(choose(match(I5, {0, L5:O5}),
"&amp;"      ""#999999"",
      ""#ff9900"",
      ""#cbd9e6"",
      ""#cab148"",
      ""#e5d9b4""
    ))
  }
)
"),"")</f>
        <v/>
      </c>
      <c r="K5" s="63">
        <f t="array" ref="K5">trunc(min(Intermediate!L$2, max(
choose(match(I5, {0, L5:O5}), 0, L$2, M$2, N$2, O$2)
 + (I5 - choose(match(I5, {0, L5:O5}), 0, L5, M5, N5, O5))
 / choose(match(I5, {0, L5:O5}), L5, M5-L5, N5-M5, O5-N5, O5-N5)
 * choose(match(I5, {0, L5:O5}), L$2, M$2-L$2, N$2-M$2, O$2-N$2, O$2-N$2),
 choose(match(I6, {0, L6:O6}), 0, L$2, M$2, N$2, O$2)
 + (I6 - choose(match(I6, {0, L6:O6}), 0, L6, M6, N6, O6))
 / choose(match(I6, {0, L6:O6}), L6, M6-L6, N6-M6, O6-N6, O6-N6)
 * choose(match(I6, {0, L6:O6}), L$2, M$2-L$2, N$2-M$2, O$2-N$2, O$2-N$2)
)))</f>
        <v>0</v>
      </c>
      <c r="L5" s="72">
        <f>IFERROR(__xludf.DUMMYFUNCTION("""COMPUTED_VALUE"""),650.0)</f>
        <v>650</v>
      </c>
      <c r="M5" s="66">
        <f>IFERROR(__xludf.DUMMYFUNCTION("""COMPUTED_VALUE"""),750.0)</f>
        <v>750</v>
      </c>
      <c r="N5" s="67">
        <f>IFERROR(__xludf.DUMMYFUNCTION("""COMPUTED_VALUE"""),850.0)</f>
        <v>850</v>
      </c>
      <c r="O5" s="68">
        <f>IFERROR(__xludf.DUMMYFUNCTION("""COMPUTED_VALUE"""),950.0)</f>
        <v>950</v>
      </c>
      <c r="P5" s="69" t="s">
        <v>38</v>
      </c>
    </row>
    <row r="6" ht="30.0" customHeight="1">
      <c r="C6" s="71" t="str">
        <f>IFERROR(__xludf.DUMMYFUNCTION("""COMPUTED_VALUE""")," VT Multiclick 120 Novice")</f>
        <v> VT Multiclick 120 Novice</v>
      </c>
      <c r="D6" s="50"/>
      <c r="E6" s="61"/>
      <c r="F6" s="62" t="str">
        <f>IFERROR(__xludf.DUMMYFUNCTION("sparkline(
  E6 - choose(match(E6, {0, L6:O6}), 0, L6, M6, N6, O6),
  {
    ""charttype"", ""bar"";    
    ""max"", choose(match(E6, {0, L6:O6}), L6, M6-L6, N6-M6, O6-N6, 0);
    ""nan"", ""ignore"";
    ""color1"", iferror(choose(match(E6, {0, L6:O6}),
"&amp;"      ""#999999"",
      ""#ff9900"",
      ""#cbd9e6"",
      ""#cab148"",
      ""#e5d9b4""
    ))
  }
)
"),"")</f>
        <v/>
      </c>
      <c r="H6" s="64"/>
      <c r="I6" s="61" t="str">
        <f>'Average Input'!D42</f>
        <v/>
      </c>
      <c r="J6" s="64" t="str">
        <f>IFERROR(__xludf.DUMMYFUNCTION("sparkline(
  I6 - choose(match(I6, {0, L6:O6}), 0, L6, M6, N6, O6),
  {
    ""charttype"", ""bar"";    
    ""max"", choose(match(I6, {0, L6:O6}), L6, M6-L6, N6-M6, O6-N6, 0);
    ""nan"", ""ignore"";
    ""color1"", iferror(choose(match(I6, {0, L6:O6}),
"&amp;"      ""#999999"",
      ""#ff9900"",
      ""#cbd9e6"",
      ""#cab148"",
      ""#e5d9b4""
    ))
  }
)
"),"")</f>
        <v/>
      </c>
      <c r="L6" s="72">
        <f>IFERROR(__xludf.DUMMYFUNCTION("""COMPUTED_VALUE"""),1160.0)</f>
        <v>1160</v>
      </c>
      <c r="M6" s="66">
        <f>IFERROR(__xludf.DUMMYFUNCTION("""COMPUTED_VALUE"""),1260.0)</f>
        <v>1260</v>
      </c>
      <c r="N6" s="67">
        <f>IFERROR(__xludf.DUMMYFUNCTION("""COMPUTED_VALUE"""),1360.0)</f>
        <v>1360</v>
      </c>
      <c r="O6" s="68">
        <f>IFERROR(__xludf.DUMMYFUNCTION("""COMPUTED_VALUE"""),1460.0)</f>
        <v>1460</v>
      </c>
    </row>
    <row r="7" ht="30.0" customHeight="1">
      <c r="A7" s="73" t="s">
        <v>39</v>
      </c>
      <c r="B7" s="74" t="s">
        <v>40</v>
      </c>
      <c r="C7" s="75" t="str">
        <f>IFERROR(__xludf.DUMMYFUNCTION("""COMPUTED_VALUE""")," VT Smoothbot Novice")</f>
        <v> VT Smoothbot Novice</v>
      </c>
      <c r="D7" s="50"/>
      <c r="E7" s="61"/>
      <c r="F7" s="62" t="str">
        <f>IFERROR(__xludf.DUMMYFUNCTION("sparkline(
  E7 - choose(match(E7, {0, L7:O7}), 0, L7, M7, N7, O7),
  {
    ""charttype"", ""bar"";    
    ""max"", choose(match(E7, {0, L7:O7}), L7, M7-L7, N7-M7, O7-N7, 0);
    ""nan"", ""ignore"";
    ""color1"", iferror(choose(match(E7, {0, L7:O7}),
"&amp;"      ""#999999"",
      ""#ff9900"",
      ""#cbd9e6"",
      ""#cab148"",
      ""#e5d9b4""
    ))
  }
)
"),"")</f>
        <v/>
      </c>
      <c r="G7" s="63">
        <f t="array" ref="G7">trunc(min(Intermediate!L$2, max(
choose(match(E7, {0, L7:O7}), 0, L$2, M$2, N$2, O$2)
 + (E7 - choose(match(E7, {0, L7:O7}), 0, L7, M7, N7, O7))
 / choose(match(E7, {0, L7:O7}), L7, M7-L7, N7-M7, O7-N7, O7-N7)
 * choose(match(E7, {0, L7:O7}), L$2, M$2-L$2, N$2-M$2, O$2-N$2, O$2-N$2),
 choose(match(E8, {0, L8:O8}), 0, L$2, M$2, N$2, O$2)
 + (E8 - choose(match(E8, {0, L8:O8}), 0, L8, M8, N8, O8))
 / choose(match(E8, {0, L8:O8}), L8, M8-L8, N8-M8, O8-N8, O8-N8)
 * choose(match(E8, {0, L8:O8}), L$2, M$2-L$2, N$2-M$2, O$2-N$2, O$2-N$2)
)))</f>
        <v>0</v>
      </c>
      <c r="H7" s="64"/>
      <c r="I7" s="61" t="str">
        <f>'Average Input'!D43</f>
        <v/>
      </c>
      <c r="J7" s="64" t="str">
        <f>IFERROR(__xludf.DUMMYFUNCTION("sparkline(
  I7 - choose(match(I7, {0, L7:O7}), 0, L7, M7, N7, O7),
  {
    ""charttype"", ""bar"";    
    ""max"", choose(match(I7, {0, L7:O7}), L7, M7-L7, N7-M7, O7-N7, 0);
    ""nan"", ""ignore"";
    ""color1"", iferror(choose(match(I7, {0, L7:O7}),
"&amp;"      ""#999999"",
      ""#ff9900"",
      ""#cbd9e6"",
      ""#cab148"",
      ""#e5d9b4""
    ))
  }
)
"),"")</f>
        <v/>
      </c>
      <c r="K7" s="63">
        <f t="array" ref="K7">trunc(min(Intermediate!L$2, max(
choose(match(I7, {0, L7:O7}), 0, L$2, M$2, N$2, O$2)
 + (I7 - choose(match(I7, {0, L7:O7}), 0, L7, M7, N7, O7))
 / choose(match(I7, {0, L7:O7}), L7, M7-L7, N7-M7, O7-N7, O7-N7)
 * choose(match(I7, {0, L7:O7}), L$2, M$2-L$2, N$2-M$2, O$2-N$2, O$2-N$2),
 choose(match(I8, {0, L8:O8}), 0, L$2, M$2, N$2, O$2)
 + (I8 - choose(match(I8, {0, L8:O8}), 0, L8, M8, N8, O8))
 / choose(match(I8, {0, L8:O8}), L8, M8-L8, N8-M8, O8-N8, O8-N8)
 * choose(match(I8, {0, L8:O8}), L$2, M$2-L$2, N$2-M$2, O$2-N$2, O$2-N$2)
)))</f>
        <v>0</v>
      </c>
      <c r="L7" s="72">
        <f>IFERROR(__xludf.DUMMYFUNCTION("""COMPUTED_VALUE"""),2300.0)</f>
        <v>2300</v>
      </c>
      <c r="M7" s="66">
        <f>IFERROR(__xludf.DUMMYFUNCTION("""COMPUTED_VALUE"""),2500.0)</f>
        <v>2500</v>
      </c>
      <c r="N7" s="67">
        <f>IFERROR(__xludf.DUMMYFUNCTION("""COMPUTED_VALUE"""),3100.0)</f>
        <v>3100</v>
      </c>
      <c r="O7" s="68">
        <f>IFERROR(__xludf.DUMMYFUNCTION("""COMPUTED_VALUE"""),3500.0)</f>
        <v>3500</v>
      </c>
      <c r="P7" s="69" t="s">
        <v>41</v>
      </c>
    </row>
    <row r="8" ht="30.0" customHeight="1">
      <c r="C8" s="75" t="str">
        <f>IFERROR(__xludf.DUMMYFUNCTION("""COMPUTED_VALUE""")," VT PreciseOrb Novice")</f>
        <v> VT PreciseOrb Novice</v>
      </c>
      <c r="D8" s="50"/>
      <c r="E8" s="61"/>
      <c r="F8" s="62" t="str">
        <f>IFERROR(__xludf.DUMMYFUNCTION("sparkline(
  E8 - choose(match(E8, {0, L8:O8}), 0, L8, M8, N8, O8),
  {
    ""charttype"", ""bar"";    
    ""max"", choose(match(E8, {0, L8:O8}), L8, M8-L8, N8-M8, O8-N8, 0);
    ""nan"", ""ignore"";
    ""color1"", iferror(choose(match(E8, {0, L8:O8}),
"&amp;"      ""#999999"",
      ""#ff9900"",
      ""#cbd9e6"",
      ""#cab148"",
      ""#e5d9b4""
    ))
  }
)
"),"")</f>
        <v/>
      </c>
      <c r="H8" s="64"/>
      <c r="I8" s="61" t="str">
        <f>'Average Input'!D44</f>
        <v/>
      </c>
      <c r="J8" s="64" t="str">
        <f>IFERROR(__xludf.DUMMYFUNCTION("sparkline(
  I8 - choose(match(I8, {0, L8:O8}), 0, L8, M8, N8, O8),
  {
    ""charttype"", ""bar"";    
    ""max"", choose(match(I8, {0, L8:O8}), L8, M8-L8, N8-M8, O8-N8, 0);
    ""nan"", ""ignore"";
    ""color1"", iferror(choose(match(I8, {0, L8:O8}),
"&amp;"      ""#999999"",
      ""#ff9900"",
      ""#cbd9e6"",
      ""#cab148"",
      ""#e5d9b4""
    ))
  }
)
"),"")</f>
        <v/>
      </c>
      <c r="L8" s="72">
        <f>IFERROR(__xludf.DUMMYFUNCTION("""COMPUTED_VALUE"""),1300.0)</f>
        <v>1300</v>
      </c>
      <c r="M8" s="66">
        <f>IFERROR(__xludf.DUMMYFUNCTION("""COMPUTED_VALUE"""),1600.0)</f>
        <v>1600</v>
      </c>
      <c r="N8" s="67">
        <f>IFERROR(__xludf.DUMMYFUNCTION("""COMPUTED_VALUE"""),1900.0)</f>
        <v>1900</v>
      </c>
      <c r="O8" s="68">
        <f>IFERROR(__xludf.DUMMYFUNCTION("""COMPUTED_VALUE"""),2200.0)</f>
        <v>2200</v>
      </c>
    </row>
    <row r="9" ht="30.0" customHeight="1">
      <c r="B9" s="76" t="s">
        <v>42</v>
      </c>
      <c r="C9" s="77" t="str">
        <f>IFERROR(__xludf.DUMMYFUNCTION("""COMPUTED_VALUE""")," VT Plaza Novice")</f>
        <v> VT Plaza Novice</v>
      </c>
      <c r="D9" s="50"/>
      <c r="E9" s="61"/>
      <c r="F9" s="62" t="str">
        <f>IFERROR(__xludf.DUMMYFUNCTION("sparkline(
  E9 - choose(match(E9, {0, L9:O9}), 0, L9, M9, N9, O9),
  {
    ""charttype"", ""bar"";    
    ""max"", choose(match(E9, {0, L9:O9}), L9, M9-L9, N9-M9, O9-N9, 0);
    ""nan"", ""ignore"";
    ""color1"", iferror(choose(match(E9, {0, L9:O9}),
"&amp;"      ""#999999"",
      ""#ff9900"",
      ""#cbd9e6"",
      ""#cab148"",
      ""#e5d9b4""
    ))
  }
)
"),"")</f>
        <v/>
      </c>
      <c r="G9" s="63">
        <f t="array" ref="G9">trunc(min(Intermediate!L$2, max(
choose(match(E9, {0, L9:O9}), 0, L$2, M$2, N$2, O$2)
 + (E9 - choose(match(E9, {0, L9:O9}), 0, L9, M9, N9, O9))
 / choose(match(E9, {0, L9:O9}), L9, M9-L9, N9-M9, O9-N9, O9-N9)
 * choose(match(E9, {0, L9:O9}), L$2, M$2-L$2, N$2-M$2, O$2-N$2, O$2-N$2),
 choose(match(E10, {0, L10:O10}), 0, L$2, M$2, N$2, O$2)
 + (E10 - choose(match(E10, {0, L10:O10}), 0, L10, M10, N10, O10))
 / choose(match(E10, {0, L10:O10}), L10, M10-L10, N10-M10, O10-N10, O10-N10)
 * choose(match(E10, {0, L10:O10}), L$2, M$2-L$2, N$2-M$2, O$2-N$2, O$2-N$2)
)))</f>
        <v>0</v>
      </c>
      <c r="H9" s="64"/>
      <c r="I9" s="61" t="str">
        <f>'Average Input'!D45</f>
        <v/>
      </c>
      <c r="J9" s="64" t="str">
        <f>IFERROR(__xludf.DUMMYFUNCTION("sparkline(
  I9 - choose(match(I9, {0, L9:O9}), 0, L9, M9, N9, O9),
  {
    ""charttype"", ""bar"";    
    ""max"", choose(match(I9, {0, L9:O9}), L9, M9-L9, N9-M9, O9-N9, 0);
    ""nan"", ""ignore"";
    ""color1"", iferror(choose(match(I9, {0, L9:O9}),
"&amp;"      ""#999999"",
      ""#ff9900"",
      ""#cbd9e6"",
      ""#cab148"",
      ""#e5d9b4""
    ))
  }
)
"),"")</f>
        <v/>
      </c>
      <c r="K9" s="63">
        <f t="array" ref="K9">trunc(min(Intermediate!L$2, max(
choose(match(I9, {0, L9:O9}), 0, L$2, M$2, N$2, O$2)
 + (I9 - choose(match(I9, {0, L9:O9}), 0, L9, M9, N9, O9))
 / choose(match(I9, {0, L9:O9}), L9, M9-L9, N9-M9, O9-N9, O9-N9)
 * choose(match(I9, {0, L9:O9}), L$2, M$2-L$2, N$2-M$2, O$2-N$2, O$2-N$2),
 choose(match(I10, {0, L10:O10}), 0, L$2, M$2, N$2, O$2)
 + (I10 - choose(match(I10, {0, L10:O10}), 0, L10, M10, N10, O10))
 / choose(match(I10, {0, L10:O10}), L10, M10-L10, N10-M10, O10-N10, O10-N10)
 * choose(match(I10, {0, L10:O10}), L$2, M$2-L$2, N$2-M$2, O$2-N$2, O$2-N$2)
)))</f>
        <v>0</v>
      </c>
      <c r="L9" s="72">
        <f>IFERROR(__xludf.DUMMYFUNCTION("""COMPUTED_VALUE"""),2150.0)</f>
        <v>2150</v>
      </c>
      <c r="M9" s="66">
        <f>IFERROR(__xludf.DUMMYFUNCTION("""COMPUTED_VALUE"""),2450.0)</f>
        <v>2450</v>
      </c>
      <c r="N9" s="67">
        <f>IFERROR(__xludf.DUMMYFUNCTION("""COMPUTED_VALUE"""),2850.0)</f>
        <v>2850</v>
      </c>
      <c r="O9" s="68">
        <f>IFERROR(__xludf.DUMMYFUNCTION("""COMPUTED_VALUE"""),3050.0)</f>
        <v>3050</v>
      </c>
      <c r="P9" s="69" t="s">
        <v>43</v>
      </c>
    </row>
    <row r="10" ht="30.0" customHeight="1">
      <c r="C10" s="77" t="str">
        <f>IFERROR(__xludf.DUMMYFUNCTION("""COMPUTED_VALUE""")," VT Air Novice")</f>
        <v> VT Air Novice</v>
      </c>
      <c r="D10" s="50"/>
      <c r="E10" s="61"/>
      <c r="F10" s="62" t="str">
        <f>IFERROR(__xludf.DUMMYFUNCTION("sparkline(
  E10 - choose(match(E10, {0, L10:O10}), 0, L10, M10, N10, O10),
  {
    ""charttype"", ""bar"";    
    ""max"", choose(match(E10, {0, L10:O10}), L10, M10-L10, N10-M10, O10-N10, 0);
    ""nan"", ""ignore"";
    ""color1"", iferror(choose(match"&amp;"(E10, {0, L10:O10}),
      ""#999999"",
      ""#ff9900"",
      ""#cbd9e6"",
      ""#cab148"",
      ""#e5d9b4""
    ))
  }
)
"),"")</f>
        <v/>
      </c>
      <c r="H10" s="64"/>
      <c r="I10" s="61" t="str">
        <f>'Average Input'!D46</f>
        <v/>
      </c>
      <c r="J10" s="64" t="str">
        <f>IFERROR(__xludf.DUMMYFUNCTION("sparkline(
  I10 - choose(match(I10, {0, L10:O10}), 0, L10, M10, N10, O10),
  {
    ""charttype"", ""bar"";    
    ""max"", choose(match(I10, {0, L10:O10}), L10, M10-L10, N10-M10, O10-N10, 0);
    ""nan"", ""ignore"";
    ""color1"", iferror(choose(match"&amp;"(I10, {0, L10:O10}),
      ""#999999"",
      ""#ff9900"",
      ""#cbd9e6"",
      ""#cab148"",
      ""#e5d9b4""
    ))
  }
)
"),"")</f>
        <v/>
      </c>
      <c r="L10" s="72">
        <f>IFERROR(__xludf.DUMMYFUNCTION("""COMPUTED_VALUE"""),1900.0)</f>
        <v>1900</v>
      </c>
      <c r="M10" s="66">
        <f>IFERROR(__xludf.DUMMYFUNCTION("""COMPUTED_VALUE"""),2200.0)</f>
        <v>2200</v>
      </c>
      <c r="N10" s="67">
        <f>IFERROR(__xludf.DUMMYFUNCTION("""COMPUTED_VALUE"""),2500.0)</f>
        <v>2500</v>
      </c>
      <c r="O10" s="68">
        <f>IFERROR(__xludf.DUMMYFUNCTION("""COMPUTED_VALUE"""),2800.0)</f>
        <v>2800</v>
      </c>
    </row>
    <row r="11" ht="30.0" customHeight="1">
      <c r="A11" s="78" t="s">
        <v>44</v>
      </c>
      <c r="B11" s="79" t="s">
        <v>45</v>
      </c>
      <c r="C11" s="80" t="str">
        <f>IFERROR(__xludf.DUMMYFUNCTION("""COMPUTED_VALUE""")," VT psalmTS Novice")</f>
        <v> VT psalmTS Novice</v>
      </c>
      <c r="D11" s="50"/>
      <c r="E11" s="61"/>
      <c r="F11" s="62" t="str">
        <f>IFERROR(__xludf.DUMMYFUNCTION("sparkline(
  E11 - choose(match(E11, {0, L11:O11}), 0, L11, M11, N11, O11),
  {
    ""charttype"", ""bar"";    
    ""max"", choose(match(E11, {0, L11:O11}), L11, M11-L11, N11-M11, O11-N11, 0);
    ""nan"", ""ignore"";
    ""color1"", iferror(choose(match"&amp;"(E11, {0, L11:O11}),
      ""#999999"",
      ""#ff9900"",
      ""#cbd9e6"",
      ""#cab148"",
      ""#e5d9b4""
    ))
  }
)
"),"")</f>
        <v/>
      </c>
      <c r="G11" s="63">
        <f t="array" ref="G11">trunc(min(Intermediate!L$2, max(
choose(match(E11, {0, L11:O11}), 0, L$2, M$2, N$2, O$2)
 + (E11 - choose(match(E11, {0, L11:O11}), 0, L11, M11, N11, O11))
 / choose(match(E11, {0, L11:O11}), L11, M11-L11, N11-M11, O11-N11, O11-N11)
 * choose(match(E11, {0, L11:O11}), L$2, M$2-L$2, N$2-M$2, O$2-N$2, O$2-N$2),
 choose(match(E12, {0, L12:O12}), 0, L$2, M$2, N$2, O$2)
 + (E12 - choose(match(E12, {0, L12:O12}), 0, L12, M12, N12, O12))
 / choose(match(E12, {0, L12:O12}), L12, M12-L12, N12-M12, O12-N12, O12-N12)
 * choose(match(E12, {0, L12:O12}), L$2, M$2-L$2, N$2-M$2, O$2-N$2, O$2-N$2)
)))</f>
        <v>0</v>
      </c>
      <c r="H11" s="64"/>
      <c r="I11" s="61" t="str">
        <f>'Average Input'!D47</f>
        <v/>
      </c>
      <c r="J11" s="64" t="str">
        <f>IFERROR(__xludf.DUMMYFUNCTION("sparkline(
  I11 - choose(match(I11, {0, L11:O11}), 0, L11, M11, N11, O11),
  {
    ""charttype"", ""bar"";    
    ""max"", choose(match(I11, {0, L11:O11}), L11, M11-L11, N11-M11, O11-N11, 0);
    ""nan"", ""ignore"";
    ""color1"", iferror(choose(match"&amp;"(I11, {0, L11:O11}),
      ""#999999"",
      ""#ff9900"",
      ""#cbd9e6"",
      ""#cab148"",
      ""#e5d9b4""
    ))
  }
)
"),"")</f>
        <v/>
      </c>
      <c r="K11" s="63">
        <f t="array" ref="K11">trunc(min(Intermediate!L$2, max(
choose(match(I11, {0, L11:O11}), 0, L$2, M$2, N$2, O$2)
 + (I11 - choose(match(I11, {0, L11:O11}), 0, L11, M11, N11, O11))
 / choose(match(I11, {0, L11:O11}), L11, M11-L11, N11-M11, O11-N11, O11-N11)
 * choose(match(I11, {0, L11:O11}), L$2, M$2-L$2, N$2-M$2, O$2-N$2, O$2-N$2),
 choose(match(I12, {0, L12:O12}), 0, L$2, M$2, N$2, O$2)
 + (I12 - choose(match(I12, {0, L12:O12}), 0, L12, M12, N12, O12))
 / choose(match(I12, {0, L12:O12}), L12, M12-L12, N12-M12, O12-N12, O12-N12)
 * choose(match(I12, {0, L12:O12}), L$2, M$2-L$2, N$2-M$2, O$2-N$2, O$2-N$2)
)))</f>
        <v>0</v>
      </c>
      <c r="L11" s="72">
        <f>IFERROR(__xludf.DUMMYFUNCTION("""COMPUTED_VALUE"""),620.0)</f>
        <v>620</v>
      </c>
      <c r="M11" s="66">
        <f>IFERROR(__xludf.DUMMYFUNCTION("""COMPUTED_VALUE"""),690.0)</f>
        <v>690</v>
      </c>
      <c r="N11" s="67">
        <f>IFERROR(__xludf.DUMMYFUNCTION("""COMPUTED_VALUE"""),760.0)</f>
        <v>760</v>
      </c>
      <c r="O11" s="68">
        <f>IFERROR(__xludf.DUMMYFUNCTION("""COMPUTED_VALUE"""),830.0)</f>
        <v>830</v>
      </c>
      <c r="P11" s="69" t="s">
        <v>46</v>
      </c>
    </row>
    <row r="12" ht="30.0" customHeight="1">
      <c r="C12" s="80" t="str">
        <f>IFERROR(__xludf.DUMMYFUNCTION("""COMPUTED_VALUE""")," VT skyTS Novice")</f>
        <v> VT skyTS Novice</v>
      </c>
      <c r="D12" s="50"/>
      <c r="E12" s="61"/>
      <c r="F12" s="62" t="str">
        <f>IFERROR(__xludf.DUMMYFUNCTION("sparkline(
  E12 - choose(match(E12, {0, L12:O12}), 0, L12, M12, N12, O12),
  {
    ""charttype"", ""bar"";    
    ""max"", choose(match(E12, {0, L12:O12}), L12, M12-L12, N12-M12, O12-N12, 0);
    ""nan"", ""ignore"";
    ""color1"", iferror(choose(match"&amp;"(E12, {0, L12:O12}),
      ""#999999"",
      ""#ff9900"",
      ""#cbd9e6"",
      ""#cab148"",
      ""#e5d9b4""
    ))
  }
)
"),"")</f>
        <v/>
      </c>
      <c r="H12" s="64"/>
      <c r="I12" s="61" t="str">
        <f>'Average Input'!D48</f>
        <v/>
      </c>
      <c r="J12" s="64" t="str">
        <f>IFERROR(__xludf.DUMMYFUNCTION("sparkline(
  I12 - choose(match(I12, {0, L12:O12}), 0, L12, M12, N12, O12),
  {
    ""charttype"", ""bar"";    
    ""max"", choose(match(I12, {0, L12:O12}), L12, M12-L12, N12-M12, O12-N12, 0);
    ""nan"", ""ignore"";
    ""color1"", iferror(choose(match"&amp;"(I12, {0, L12:O12}),
      ""#999999"",
      ""#ff9900"",
      ""#cbd9e6"",
      ""#cab148"",
      ""#e5d9b4""
    ))
  }
)
"),"")</f>
        <v/>
      </c>
      <c r="L12" s="72">
        <f>IFERROR(__xludf.DUMMYFUNCTION("""COMPUTED_VALUE"""),780.0)</f>
        <v>780</v>
      </c>
      <c r="M12" s="66">
        <f>IFERROR(__xludf.DUMMYFUNCTION("""COMPUTED_VALUE"""),860.0)</f>
        <v>860</v>
      </c>
      <c r="N12" s="67">
        <f>IFERROR(__xludf.DUMMYFUNCTION("""COMPUTED_VALUE"""),950.0)</f>
        <v>950</v>
      </c>
      <c r="O12" s="68">
        <f>IFERROR(__xludf.DUMMYFUNCTION("""COMPUTED_VALUE"""),1040.0)</f>
        <v>1040</v>
      </c>
    </row>
    <row r="13" ht="30.0" customHeight="1">
      <c r="B13" s="81" t="s">
        <v>47</v>
      </c>
      <c r="C13" s="82" t="str">
        <f>IFERROR(__xludf.DUMMYFUNCTION("""COMPUTED_VALUE""")," VT evaTS Novice")</f>
        <v> VT evaTS Novice</v>
      </c>
      <c r="D13" s="50"/>
      <c r="E13" s="61"/>
      <c r="F13" s="62" t="str">
        <f>IFERROR(__xludf.DUMMYFUNCTION("sparkline(
  E13 - choose(match(E13, {0, L13:O13}), 0, L13, M13, N13, O13),
  {
    ""charttype"", ""bar"";    
    ""max"", choose(match(E13, {0, L13:O13}), L13, M13-L13, N13-M13, O13-N13, 0);
    ""nan"", ""ignore"";
    ""color1"", iferror(choose(match"&amp;"(E13, {0, L13:O13}),
      ""#999999"",
      ""#ff9900"",
      ""#cbd9e6"",
      ""#cab148"",
      ""#e5d9b4""
    ))
  }
)
"),"")</f>
        <v/>
      </c>
      <c r="G13" s="63">
        <f t="array" ref="G13">trunc(min(Intermediate!L$2, max(
choose(match(E13, {0, L13:O13}), 0, L$2, M$2, N$2, O$2)
 + (E13 - choose(match(E13, {0, L13:O13}), 0, L13, M13, N13, O13))
 / choose(match(E13, {0, L13:O13}), L13, M13-L13, N13-M13, O13-N13, O13-N13)
 * choose(match(E13, {0, L13:O13}), L$2, M$2-L$2, N$2-M$2, O$2-N$2, O$2-N$2),
 choose(match(E14, {0, L14:O14}), 0, L$2, M$2, N$2, O$2)
 + (E14 - choose(match(E14, {0, L14:O14}), 0, L14, M14, N14, O14))
 / choose(match(E14, {0, L14:O14}), L14, M14-L14, N14-M14, O14-N14, O14-N14)
 * choose(match(E14, {0, L14:O14}), L$2, M$2-L$2, N$2-M$2, O$2-N$2, O$2-N$2)
)))</f>
        <v>0</v>
      </c>
      <c r="H13" s="64"/>
      <c r="I13" s="61" t="str">
        <f>'Average Input'!D49</f>
        <v/>
      </c>
      <c r="J13" s="64" t="str">
        <f>IFERROR(__xludf.DUMMYFUNCTION("sparkline(
  I13 - choose(match(I13, {0, L13:O13}), 0, L13, M13, N13, O13),
  {
    ""charttype"", ""bar"";    
    ""max"", choose(match(I13, {0, L13:O13}), L13, M13-L13, N13-M13, O13-N13, 0);
    ""nan"", ""ignore"";
    ""color1"", iferror(choose(match"&amp;"(I13, {0, L13:O13}),
      ""#999999"",
      ""#ff9900"",
      ""#cbd9e6"",
      ""#cab148"",
      ""#e5d9b4""
    ))
  }
)
"),"")</f>
        <v/>
      </c>
      <c r="K13" s="63">
        <f t="array" ref="K13">trunc(min(Intermediate!L$2, max(
choose(match(I13, {0, L13:O13}), 0, L$2, M$2, N$2, O$2)
 + (I13 - choose(match(I13, {0, L13:O13}), 0, L13, M13, N13, O13))
 / choose(match(I13, {0, L13:O13}), L13, M13-L13, N13-M13, O13-N13, O13-N13)
 * choose(match(I13, {0, L13:O13}), L$2, M$2-L$2, N$2-M$2, O$2-N$2, O$2-N$2),
 choose(match(I14, {0, L14:O14}), 0, L$2, M$2, N$2, O$2)
 + (I14 - choose(match(I14, {0, L14:O14}), 0, L14, M14, N14, O14))
 / choose(match(I14, {0, L14:O14}), L14, M14-L14, N14-M14, O14-N14, O14-N14)
 * choose(match(I14, {0, L14:O14}), L$2, M$2-L$2, N$2-M$2, O$2-N$2, O$2-N$2)
)))</f>
        <v>0</v>
      </c>
      <c r="L13" s="72">
        <f>IFERROR(__xludf.DUMMYFUNCTION("""COMPUTED_VALUE"""),450.0)</f>
        <v>450</v>
      </c>
      <c r="M13" s="83">
        <f>IFERROR(__xludf.DUMMYFUNCTION("""COMPUTED_VALUE"""),510.0)</f>
        <v>510</v>
      </c>
      <c r="N13" s="84">
        <f>IFERROR(__xludf.DUMMYFUNCTION("""COMPUTED_VALUE"""),560.0)</f>
        <v>560</v>
      </c>
      <c r="O13" s="85">
        <f>IFERROR(__xludf.DUMMYFUNCTION("""COMPUTED_VALUE"""),620.0)</f>
        <v>620</v>
      </c>
      <c r="P13" s="69" t="s">
        <v>48</v>
      </c>
    </row>
    <row r="14" ht="30.0" customHeight="1">
      <c r="C14" s="82" t="str">
        <f>IFERROR(__xludf.DUMMYFUNCTION("""COMPUTED_VALUE""")," VT bounceTS Novice")</f>
        <v> VT bounceTS Novice</v>
      </c>
      <c r="D14" s="50"/>
      <c r="E14" s="61"/>
      <c r="F14" s="62" t="str">
        <f>IFERROR(__xludf.DUMMYFUNCTION("sparkline(
  E14 - choose(match(E14, {0, L14:O14}), 0, L14, M14, N14, O14),
  {
    ""charttype"", ""bar"";    
    ""max"", choose(match(E14, {0, L14:O14}), L14, M14-L14, N14-M14, O14-N14, 0);
    ""nan"", ""ignore"";
    ""color1"", iferror(choose(match"&amp;"(E14, {0, L14:O14}),
      ""#999999"",
      ""#ff9900"",
      ""#cbd9e6"",
      ""#cab148"",
      ""#e5d9b4""
    ))
  }
)
"),"")</f>
        <v/>
      </c>
      <c r="H14" s="64"/>
      <c r="I14" s="61" t="str">
        <f>'Average Input'!D50</f>
        <v/>
      </c>
      <c r="J14" s="64" t="str">
        <f>IFERROR(__xludf.DUMMYFUNCTION("sparkline(
  I14 - choose(match(I14, {0, L14:O14}), 0, L14, M14, N14, O14),
  {
    ""charttype"", ""bar"";    
    ""max"", choose(match(I14, {0, L14:O14}), L14, M14-L14, N14-M14, O14-N14, 0);
    ""nan"", ""ignore"";
    ""color1"", iferror(choose(match"&amp;"(I14, {0, L14:O14}),
      ""#999999"",
      ""#ff9900"",
      ""#cbd9e6"",
      ""#cab148"",
      ""#e5d9b4""
    ))
  }
)
"),"")</f>
        <v/>
      </c>
      <c r="L14" s="72">
        <f>IFERROR(__xludf.DUMMYFUNCTION("""COMPUTED_VALUE"""),490.0)</f>
        <v>490</v>
      </c>
      <c r="M14" s="83">
        <f>IFERROR(__xludf.DUMMYFUNCTION("""COMPUTED_VALUE"""),550.0)</f>
        <v>550</v>
      </c>
      <c r="N14" s="84">
        <f>IFERROR(__xludf.DUMMYFUNCTION("""COMPUTED_VALUE"""),610.0)</f>
        <v>610</v>
      </c>
      <c r="O14" s="85">
        <f>IFERROR(__xludf.DUMMYFUNCTION("""COMPUTED_VALUE"""),680.0)</f>
        <v>680</v>
      </c>
    </row>
    <row r="15" ht="22.5" customHeight="1">
      <c r="A15" s="86" t="s">
        <v>49</v>
      </c>
      <c r="F15" s="87" t="str">
        <f>IFERROR(__xludf.DUMMYFUNCTION("if(importrange(""https://docs.google.com/spreadsheets/d/1qUzF2KHcfs_FgsaDFRfGsLgHhoC1Md5bzMOUbsYzSjg"", ""Changelog!A2:A2"")=indirect(""Changelog!A2""), concatenate(""Sheet Version: "", Changelog!A2), hyperlink(""https://docs.google.com/spreadsheets/d/1qU"&amp;"zF2KHcfs_FgsaDFRfGsLgHhoC1Md5bzMOUbsYzSjg"", ""Outdated version, click link &amp; make a new copy!""))"),"Sheet Version: 1.2.9")</f>
        <v>Sheet Version: 1.2.9</v>
      </c>
      <c r="M15" s="45" t="str">
        <f>HYPERLINK("https://voltaic.gg/", "Website↗")</f>
        <v>Website↗</v>
      </c>
      <c r="N15" s="45" t="str">
        <f>HYPERLINK("http://discord.gg/voltaic","Discord↗")</f>
        <v>Discord↗</v>
      </c>
      <c r="O15" s="45" t="str">
        <f>HYPERLINK("http://twitter.com/voltaichq","Twitter↗")</f>
        <v>Twitter↗</v>
      </c>
      <c r="P15" s="88" t="s">
        <v>50</v>
      </c>
    </row>
    <row r="16" ht="22.5" customHeight="1">
      <c r="A16" s="89" t="s">
        <v>51</v>
      </c>
      <c r="P16" s="90" t="s">
        <v>52</v>
      </c>
    </row>
    <row r="17" ht="22.5" customHeight="1">
      <c r="A17" s="91" t="s">
        <v>53</v>
      </c>
      <c r="M17" s="45" t="str">
        <f>HYPERLINK("https://www.youtube.com/voltaichq","YouTube↗")</f>
        <v>YouTube↗</v>
      </c>
      <c r="N17" s="45" t="str">
        <f>HYPERLINK("https://bit.ly/VTxKvKsGuide","Guide↗")</f>
        <v>Guide↗</v>
      </c>
      <c r="O17" s="45" t="str">
        <f>HYPERLINK("https://docs.google.com/document/d/1omExq_y4ld9vkvbTFkLdjlT5UwQpvYSgyk5PgA7nrzM/edit?usp=sharing","Rules↗")</f>
        <v>Rules↗</v>
      </c>
      <c r="P17" s="90" t="s">
        <v>54</v>
      </c>
    </row>
    <row r="18" ht="22.5" customHeight="1">
      <c r="P18" s="92" t="s">
        <v>55</v>
      </c>
    </row>
  </sheetData>
  <mergeCells count="40">
    <mergeCell ref="A1:C1"/>
    <mergeCell ref="D1:F1"/>
    <mergeCell ref="H1:J1"/>
    <mergeCell ref="A3:A6"/>
    <mergeCell ref="G3:G4"/>
    <mergeCell ref="P3:P4"/>
    <mergeCell ref="G5:G6"/>
    <mergeCell ref="P5:P6"/>
    <mergeCell ref="G9:G10"/>
    <mergeCell ref="G11:G12"/>
    <mergeCell ref="K11:K12"/>
    <mergeCell ref="G13:G14"/>
    <mergeCell ref="K13:K14"/>
    <mergeCell ref="F15:L16"/>
    <mergeCell ref="M15:M16"/>
    <mergeCell ref="N15:N16"/>
    <mergeCell ref="P11:P12"/>
    <mergeCell ref="P13:P14"/>
    <mergeCell ref="O15:O16"/>
    <mergeCell ref="O17:O18"/>
    <mergeCell ref="K3:K4"/>
    <mergeCell ref="K5:K6"/>
    <mergeCell ref="G7:G8"/>
    <mergeCell ref="K7:K8"/>
    <mergeCell ref="P7:P8"/>
    <mergeCell ref="K9:K10"/>
    <mergeCell ref="P9:P10"/>
    <mergeCell ref="B13:B14"/>
    <mergeCell ref="A15:E15"/>
    <mergeCell ref="A16:E16"/>
    <mergeCell ref="A17:L18"/>
    <mergeCell ref="M17:M18"/>
    <mergeCell ref="N17:N18"/>
    <mergeCell ref="B3:B4"/>
    <mergeCell ref="B5:B6"/>
    <mergeCell ref="A7:A10"/>
    <mergeCell ref="B7:B8"/>
    <mergeCell ref="B9:B10"/>
    <mergeCell ref="A11:A14"/>
    <mergeCell ref="B11:B12"/>
  </mergeCells>
  <conditionalFormatting sqref="D3:D14 H3:H14">
    <cfRule type="expression" dxfId="1" priority="1">
      <formula>ARRAYFORMULA(E3:E11&gt;=$O3:O11)</formula>
    </cfRule>
  </conditionalFormatting>
  <conditionalFormatting sqref="D3:D14 H3:H14">
    <cfRule type="expression" dxfId="2" priority="2">
      <formula>ARRAYFORMULA(E3:E11&gt;=$N3:N11)</formula>
    </cfRule>
  </conditionalFormatting>
  <conditionalFormatting sqref="E3:E14 I3:I14">
    <cfRule type="expression" dxfId="3" priority="3">
      <formula>ARRAYFORMULA(E3:E11&gt;=$O3:O11)</formula>
    </cfRule>
  </conditionalFormatting>
  <conditionalFormatting sqref="E3:E14 I3:I14">
    <cfRule type="expression" dxfId="4" priority="4">
      <formula>ARRAYFORMULA(E3:E11&gt;=$N3:N11)</formula>
    </cfRule>
  </conditionalFormatting>
  <conditionalFormatting sqref="E3:E14 I3:I14">
    <cfRule type="expression" dxfId="5" priority="5">
      <formula>ARRAYFORMULA(E3:E11&gt;=$M3:M11)</formula>
    </cfRule>
  </conditionalFormatting>
  <conditionalFormatting sqref="D3:D14 H3:H14">
    <cfRule type="expression" dxfId="6" priority="6">
      <formula>ARRAYFORMULA(E3:E11&gt;=$M3:M11)</formula>
    </cfRule>
  </conditionalFormatting>
  <conditionalFormatting sqref="E3:E14 I3:I14">
    <cfRule type="expression" dxfId="7" priority="7">
      <formula>ARRAYFORMULA(E3:E11&gt;=$L3:L11)</formula>
    </cfRule>
  </conditionalFormatting>
  <conditionalFormatting sqref="D3:D14 H3:H14">
    <cfRule type="expression" dxfId="8" priority="8">
      <formula>ARRAYFORMULA(E3:E11&gt;=$L3:L11)</formula>
    </cfRule>
  </conditionalFormatting>
  <conditionalFormatting sqref="G3:G14 K3:K14">
    <cfRule type="expression" dxfId="9" priority="9">
      <formula>ARRAYFORMULA(G3:G13&gt;=$O$2)</formula>
    </cfRule>
  </conditionalFormatting>
  <conditionalFormatting sqref="G3:G14 K3:K14">
    <cfRule type="expression" dxfId="10" priority="10">
      <formula>ARRAYFORMULA(G3:G13&gt;=$N$2)</formula>
    </cfRule>
  </conditionalFormatting>
  <conditionalFormatting sqref="G3:G14 K3:K14">
    <cfRule type="expression" dxfId="11" priority="11">
      <formula>ARRAYFORMULA(G3:G13&gt;=$M$2)</formula>
    </cfRule>
  </conditionalFormatting>
  <conditionalFormatting sqref="G3:G14 K3:K14">
    <cfRule type="expression" dxfId="12" priority="12">
      <formula>ARRAYFORMULA(G3:G13&gt;=$L$2)</formula>
    </cfRule>
  </conditionalFormatting>
  <conditionalFormatting sqref="D1 H1">
    <cfRule type="beginsWith" dxfId="13" priority="13" operator="beginsWith" text="Gold">
      <formula>LEFT((D1),LEN("Gold"))=("Gold")</formula>
    </cfRule>
  </conditionalFormatting>
  <conditionalFormatting sqref="D1 H1">
    <cfRule type="beginsWith" dxfId="14" priority="14" operator="beginsWith" text="Silver">
      <formula>LEFT((D1),LEN("Silver"))=("Silver")</formula>
    </cfRule>
  </conditionalFormatting>
  <conditionalFormatting sqref="D1 H1">
    <cfRule type="beginsWith" dxfId="15" priority="15" operator="beginsWith" text="Bronze">
      <formula>LEFT((D1),LEN("Bronze"))=("Bronze")</formula>
    </cfRule>
  </conditionalFormatting>
  <conditionalFormatting sqref="D1 H1">
    <cfRule type="beginsWith" dxfId="16" priority="16" operator="beginsWith" text="Iron">
      <formula>LEFT((D1),LEN("Iron"))=("Iron")</formula>
    </cfRule>
  </conditionalFormatting>
  <conditionalFormatting sqref="D1 H1">
    <cfRule type="beginsWith" dxfId="17" priority="17" operator="beginsWith" text="Unranked">
      <formula>LEFT((D1),LEN("Unranked"))=("Unranked")</formula>
    </cfRule>
  </conditionalFormatting>
  <conditionalFormatting sqref="F15:L16">
    <cfRule type="containsText" dxfId="0" priority="18" operator="containsText" text="Outdated">
      <formula>NOT(ISERROR(SEARCH(("Outdated"),(F15))))</formula>
    </cfRule>
  </conditionalFormatting>
  <hyperlinks>
    <hyperlink r:id="rId2" ref="A17"/>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AB54"/>
    <outlinePr summaryBelow="0" summaryRight="0"/>
  </sheetPr>
  <sheetViews>
    <sheetView workbookViewId="0"/>
  </sheetViews>
  <sheetFormatPr customHeight="1" defaultColWidth="12.63" defaultRowHeight="15.75"/>
  <cols>
    <col customWidth="1" min="1" max="1" width="2.75"/>
    <col customWidth="1" min="2" max="2" width="2.63"/>
    <col customWidth="1" min="3" max="3" width="22.63"/>
    <col customWidth="1" min="4" max="4" width="0.38"/>
    <col customWidth="1" min="5" max="6" width="9.5"/>
    <col customWidth="1" min="7" max="7" width="6.38"/>
    <col customWidth="1" min="8" max="8" width="0.38"/>
    <col customWidth="1" min="9" max="10" width="9.5"/>
    <col customWidth="1" min="11" max="11" width="6.38"/>
    <col customWidth="1" min="12" max="15" width="11.0"/>
    <col customWidth="1" min="16" max="17" width="65.13"/>
  </cols>
  <sheetData>
    <row r="1" ht="22.5" customHeight="1">
      <c r="A1" s="47" t="s">
        <v>56</v>
      </c>
      <c r="D1" s="93" t="str">
        <f t="array" ref="D1">concatenate(choose(match(G2, {0, L2:O2}), "Unranked", L1, M1, N1, O1), if(and(E3:E18 &gt;= choose(match(G2, {0, L2:O2}), 1E+99, L3:L18, M3:M18, N3:N18, O3:O18)), " Complete", ""))</f>
        <v>Unranked</v>
      </c>
      <c r="G1" s="49" t="s">
        <v>27</v>
      </c>
      <c r="H1" s="94" t="str">
        <f t="array" ref="H1">concatenate(choose(match(K2, {0, L2:O2}), "Unranked", L1, M1, N1, O1), if(and(I3:I18 &gt;= choose(match(G2, {0, L2:O2}), 1E+99, L3:L18, M3:M18, N3:N18, O3:O18)), " Complete", ""))</f>
        <v>Unranked</v>
      </c>
      <c r="K1" s="49" t="s">
        <v>27</v>
      </c>
      <c r="L1" s="22" t="str">
        <f>IFERROR(__xludf.DUMMYFUNCTION("importrange(""https://docs.google.com/spreadsheets/d/10ck-sXoSgAYeiVI9iaaWwSqxC7KoxNO-2AtO08C-eCw"", ""Benchmarks!K3:N20"")"),"Platinum")</f>
        <v>Platinum</v>
      </c>
      <c r="M1" s="23" t="str">
        <f>IFERROR(__xludf.DUMMYFUNCTION("""COMPUTED_VALUE"""),"Diamond")</f>
        <v>Diamond</v>
      </c>
      <c r="N1" s="24" t="str">
        <f>IFERROR(__xludf.DUMMYFUNCTION("""COMPUTED_VALUE"""),"Jade")</f>
        <v>Jade</v>
      </c>
      <c r="O1" s="25" t="str">
        <f>IFERROR(__xludf.DUMMYFUNCTION("""COMPUTED_VALUE"""),"Master")</f>
        <v>Master</v>
      </c>
      <c r="P1" s="2" t="s">
        <v>28</v>
      </c>
      <c r="Q1" s="95" t="s">
        <v>57</v>
      </c>
    </row>
    <row r="2" ht="22.5" customHeight="1">
      <c r="A2" s="51"/>
      <c r="B2" s="52"/>
      <c r="C2" s="53" t="s">
        <v>29</v>
      </c>
      <c r="D2" s="53"/>
      <c r="E2" s="53" t="s">
        <v>30</v>
      </c>
      <c r="F2" s="53" t="s">
        <v>31</v>
      </c>
      <c r="G2" s="54">
        <f>iferror(trunc(harmean(G3:G18)), 0)</f>
        <v>0</v>
      </c>
      <c r="H2" s="53"/>
      <c r="I2" s="53" t="s">
        <v>32</v>
      </c>
      <c r="J2" s="53" t="s">
        <v>31</v>
      </c>
      <c r="K2" s="54">
        <f>iferror(trunc(harmean(K3:K18)), 0)</f>
        <v>0</v>
      </c>
      <c r="L2" s="96">
        <f>IFERROR(__xludf.DUMMYFUNCTION("""COMPUTED_VALUE"""),500.0)</f>
        <v>500</v>
      </c>
      <c r="M2" s="97">
        <f>IFERROR(__xludf.DUMMYFUNCTION("""COMPUTED_VALUE"""),600.0)</f>
        <v>600</v>
      </c>
      <c r="N2" s="37">
        <f>IFERROR(__xludf.DUMMYFUNCTION("""COMPUTED_VALUE"""),700.0)</f>
        <v>700</v>
      </c>
      <c r="O2" s="38">
        <f>IFERROR(__xludf.DUMMYFUNCTION("""COMPUTED_VALUE"""),800.0)</f>
        <v>800</v>
      </c>
      <c r="P2" s="57" t="s">
        <v>33</v>
      </c>
      <c r="Q2" s="98" t="s">
        <v>58</v>
      </c>
    </row>
    <row r="3" ht="22.5" customHeight="1">
      <c r="A3" s="58" t="s">
        <v>34</v>
      </c>
      <c r="B3" s="99" t="s">
        <v>35</v>
      </c>
      <c r="C3" s="60" t="str">
        <f>IFERROR(__xludf.DUMMYFUNCTION("importrange(""https://docs.google.com/spreadsheets/d/10ck-sXoSgAYeiVI9iaaWwSqxC7KoxNO-2AtO08C-eCw/"", ""Benchmarks!J5:J20"")")," VT Pasu Rasp Intermediate")</f>
        <v> VT Pasu Rasp Intermediate</v>
      </c>
      <c r="D3" s="61"/>
      <c r="E3" s="61"/>
      <c r="F3" s="100" t="str">
        <f>IFERROR(__xludf.DUMMYFUNCTION("sparkline(
  E3 - choose(match(E3, {0, L3:O3}), 0, L3, M3, N3, O3),
  {
    ""charttype"", ""bar"";
    ""max"", choose(match(E3, {0, L3:O3}), L3, M3-L3, N3-M3, O3-N3, 0);
    ""nan"", ""ignore"";
    ""color1"", iferror(choose(match(E3, {0, L3:O3}),
    "&amp;"  ""#2FCFC2"",
      ""#B9F2FF"",
      ""#85FA85"",
      ""#EC44CA"",
      ""#fbc2ea""
    ))
  }
)
"),"")</f>
        <v/>
      </c>
      <c r="G3" s="63">
        <f t="array" ref="G3">trunc(min(Advanced!L$2, max(
choose(match(E3, {0, L3-(M3-L3), L3:O3}), 0, Novice!O$2, L$2, M$2, N$2, O$2)
 + (E3 - choose(match(E3, {0, L3-(M3-L3), L3:O3}), 0, L3-(M3-L3), L3, M3, N3, O3))
 / choose(match(E3, {0, L3-(M3-L3), L3:O3}), L3-(M3-L3), M3-L3, M3-L3, N3-M3, O3-N3, O3-N3)
 * choose(match(E3, {0, L3-(M3-L3), L3:O3}), Novice!O$2, L$2-Novice!O$2, M$2-L$2, N$2-M$2, O$2-N$2, O$2-N$2),
choose(match(E4, {0, L4-(M4-L4), L4:O4}), 0, Novice!O$2, L$2, M$2, N$2, O$2)
 + (E4 - choose(match(E4, {0, L4-(M4-L4), L4:O4}), 0, L4-(M4-L4), L4, M4, N4, O4))
 / choose(match(E4, {0, L4-(M4-L4), L4:O4}), L4-(M4-L4), M4-L4, M4-L4, N4-M4, O4-N4, O4-N4)
 * choose(match(E4, {0, L4-(M4-L4), L4:O4}), Novice!O$2, L$2-Novice!O$2, M$2-L$2, N$2-M$2, O$2-N$2, O$2-N$2)
)))</f>
        <v>0</v>
      </c>
      <c r="H3" s="64"/>
      <c r="I3" s="94" t="str">
        <f>'Average Input'!D21</f>
        <v/>
      </c>
      <c r="J3" s="64" t="str">
        <f>IFERROR(__xludf.DUMMYFUNCTION("sparkline(
  I3 - choose(match(I3, {0, L3:O3}), 0, L3, M3, N3, O3),
  {
    ""charttype"", ""bar"";
    ""max"", choose(match(I3, {0, L3:O3}), L3, M3-L3, N3-M3, O3-N3, 0);
    ""nan"", ""ignore"";
    ""color1"", iferror(choose(match(I3, {0, L3:O3}),
    "&amp;"  ""#2FCFC2"",
      ""#B9F2FF"",
      ""#85FA85"",
      ""#EC44CA"",
      ""#fbc2ea""
    ))
  }
)
"),"")</f>
        <v/>
      </c>
      <c r="K3" s="63">
        <f t="array" ref="K3">trunc(min(
Advanced!L$2, max(
choose(match(I3, {0, L3-(M3-L3), L3:O3}), 0, Novice!O$2, L$2, M$2, N$2, O$2)
 + (I3 - choose(match(I3, {0, L3-(M3-L3), L3:O3}), 0, L3-(M3-L3), L3, M3, N3, O3))
 / choose(match(I3, {0, L3-(M3-L3), L3:O3}), L3-(M3-L3), M3-L3, M3-L3, N3-M3, O3-N3, O3-N3)
 * choose(match(I3, {0, L3-(M3-L3), L3:O3}), Novice!O$2, L$2-Novice!O$2, M$2-L$2, N$2-M$2, O$2-N$2, O$2-N$2),
choose(match(I4, {0, L4-(M4-L4), L4:O4}), 0, Novice!O$2, L$2, M$2, N$2, O$2)
 + (I4 - choose(match(I4, {0, L4-(M4-L4), L4:O4}), 0, L4-(M4-L4), L4, M4, N4, O4))
 / choose(match(I4, {0, L4-(M4-L4), L4:O4}), L4-(M4-L4), M4-L4, M4-L4, N4-M4, O4-N4, O4-N4)
 * choose(match(I4, {0, L4-(M4-L4), L4:O4}), Novice!O$2, L$2-Novice!O$2, M$2-L$2, N$2-M$2, O$2-N$2, O$2-N$2)
)))</f>
        <v>0</v>
      </c>
      <c r="L3" s="101">
        <f>IFERROR(__xludf.DUMMYFUNCTION("""COMPUTED_VALUE"""),750.0)</f>
        <v>750</v>
      </c>
      <c r="M3" s="63">
        <f>IFERROR(__xludf.DUMMYFUNCTION("""COMPUTED_VALUE"""),850.0)</f>
        <v>850</v>
      </c>
      <c r="N3" s="102">
        <f>IFERROR(__xludf.DUMMYFUNCTION("""COMPUTED_VALUE"""),950.0)</f>
        <v>950</v>
      </c>
      <c r="O3" s="103">
        <f>IFERROR(__xludf.DUMMYFUNCTION("""COMPUTED_VALUE"""),1050.0)</f>
        <v>1050</v>
      </c>
      <c r="P3" s="69" t="s">
        <v>36</v>
      </c>
      <c r="Q3" s="104" t="s">
        <v>59</v>
      </c>
    </row>
    <row r="4" ht="22.5" customHeight="1">
      <c r="C4" s="60" t="str">
        <f>IFERROR(__xludf.DUMMYFUNCTION("""COMPUTED_VALUE""")," VT Bounceshot Intermediate")</f>
        <v> VT Bounceshot Intermediate</v>
      </c>
      <c r="D4" s="50"/>
      <c r="E4" s="61"/>
      <c r="F4" s="100" t="str">
        <f>IFERROR(__xludf.DUMMYFUNCTION("sparkline(
  E4 - choose(match(E4, {0, L4:O4}), 0, L4, M4, N4, O4),
  {
    ""charttype"", ""bar"";
    ""max"", choose(match(E4, {0, L4:O4}), L4, M4-L4, N4-M4, O4-N4, 0);
    ""nan"", ""ignore"";
    ""color1"", iferror(choose(match(E4, {0, L4:O4}),
    "&amp;"  ""#2FCFC2"",
      ""#B9F2FF"",
      ""#85FA85"",
      ""#EC44CA"",
      ""#fbc2ea""
    ))
  }
)
"),"")</f>
        <v/>
      </c>
      <c r="H4" s="64"/>
      <c r="I4" s="94" t="str">
        <f>'Average Input'!D22</f>
        <v/>
      </c>
      <c r="J4" s="64" t="str">
        <f>IFERROR(__xludf.DUMMYFUNCTION("sparkline(
  I4 - choose(match(I4, {0, L4:O4}), 0, L4, M4, N4, O4),
  {
    ""charttype"", ""bar"";
    ""max"", choose(match(I4, {0, L4:O4}), L4, M4-L4, N4-M4, O4-N4, 0);
    ""nan"", ""ignore"";
    ""color1"", iferror(choose(match(I4, {0, L4:O4}),
    "&amp;"  ""#2FCFC2"",
      ""#B9F2FF"",
      ""#85FA85"",
      ""#EC44CA"",
      ""#fbc2ea""
    ))
  }
)
"),"")</f>
        <v/>
      </c>
      <c r="L4" s="101">
        <f>IFERROR(__xludf.DUMMYFUNCTION("""COMPUTED_VALUE"""),600.0)</f>
        <v>600</v>
      </c>
      <c r="M4" s="63">
        <f>IFERROR(__xludf.DUMMYFUNCTION("""COMPUTED_VALUE"""),700.0)</f>
        <v>700</v>
      </c>
      <c r="N4" s="105">
        <f>IFERROR(__xludf.DUMMYFUNCTION("""COMPUTED_VALUE"""),800.0)</f>
        <v>800</v>
      </c>
      <c r="O4" s="103">
        <f>IFERROR(__xludf.DUMMYFUNCTION("""COMPUTED_VALUE"""),900.0)</f>
        <v>900</v>
      </c>
      <c r="Q4" s="106" t="s">
        <v>60</v>
      </c>
    </row>
    <row r="5" ht="22.5" customHeight="1">
      <c r="B5" s="70" t="s">
        <v>37</v>
      </c>
      <c r="C5" s="71" t="str">
        <f>IFERROR(__xludf.DUMMYFUNCTION("""COMPUTED_VALUE""")," VT 1w5ts Rasp Intermediate")</f>
        <v> VT 1w5ts Rasp Intermediate</v>
      </c>
      <c r="D5" s="50"/>
      <c r="E5" s="94"/>
      <c r="F5" s="100" t="str">
        <f>IFERROR(__xludf.DUMMYFUNCTION("sparkline(
  E5 - choose(match(E5, {0, L5:O5}), 0, L5, M5, N5, O5),
  {
    ""charttype"", ""bar"";
    ""max"", choose(match(E5, {0, L5:O5}), L5, M5-L5, N5-M5, O5-N5, 0);
    ""nan"", ""ignore"";
    ""color1"", iferror(choose(match(E5, {0, L5:O5}),
    "&amp;"  ""#2FCFC2"",
      ""#B9F2FF"",
      ""#85FA85"",
      ""#EC44CA"",
      ""#fbc2ea""
    ))
  }
)
"),"")</f>
        <v/>
      </c>
      <c r="G5" s="63">
        <f t="array" ref="G5">trunc(min(Advanced!L$2, max(
choose(match(E5, {0, L5-(M5-L5), L5:O5}), 0, Novice!O$2, L$2, M$2, N$2, O$2)
 + (E5 - choose(match(E5, {0, L5-(M5-L5), L5:O5}), 0, L5-(M5-L5), L5, M5, N5, O5))
 / choose(match(E5, {0, L5-(M5-L5), L5:O5}), L5-(M5-L5), M5-L5, M5-L5, N5-M5, O5-N5, O5-N5)
 * choose(match(E5, {0, L5-(M5-L5), L5:O5}), Novice!O$2, L$2-Novice!O$2, M$2-L$2, N$2-M$2, O$2-N$2, O$2-N$2),
choose(match(E6, {0, L6-(M6-L6), L6:O6}), 0, Novice!O$2, L$2, M$2, N$2, O$2)
 + (E6 - choose(match(E6, {0, L6-(M6-L6), L6:O6}), 0, L6-(M6-L6), L6, M6, N6, O6))
 / choose(match(E6, {0, L6-(M6-L6), L6:O6}), L6-(M6-L6), M6-L6, M6-L6, N6-M6, O6-N6, O6-N6)
 * choose(match(E6, {0, L6-(M6-L6), L6:O6}), Novice!O$2, L$2-Novice!O$2, M$2-L$2, N$2-M$2, O$2-N$2, O$2-N$2)
)))</f>
        <v>0</v>
      </c>
      <c r="H5" s="64"/>
      <c r="I5" s="94" t="str">
        <f>'Average Input'!D23</f>
        <v/>
      </c>
      <c r="J5" s="64" t="str">
        <f>IFERROR(__xludf.DUMMYFUNCTION("sparkline(
  I5 - choose(match(I5, {0, L5:O5}), 0, L5, M5, N5, O5),
  {
    ""charttype"", ""bar"";
    ""max"", choose(match(I5, {0, L5:O5}), L5, M5-L5, N5-M5, O5-N5, 0);
    ""nan"", ""ignore"";
    ""color1"", iferror(choose(match(I5, {0, L5:O5}),
    "&amp;"  ""#2FCFC2"",
      ""#B9F2FF"",
      ""#85FA85"",
      ""#EC44CA"",
      ""#fbc2ea""
    ))
  }
)
"),"")</f>
        <v/>
      </c>
      <c r="K5" s="63">
        <f t="array" ref="K5">trunc(min(
Advanced!L$2, max(
choose(match(I5, {0, L5-(M5-L5), L5:O5}), 0, Novice!O$2, L$2, M$2, N$2, O$2)
 + (I5 - choose(match(I5, {0, L5-(M5-L5), L5:O5}), 0, L5-(M5-L5), L5, M5, N5, O5))
 / choose(match(I5, {0, L5-(M5-L5), L5:O5}), L5-(M5-L5), M5-L5, M5-L5, N5-M5, O5-N5, O5-N5)
 * choose(match(I5, {0, L5-(M5-L5), L5:O5}), Novice!O$2, L$2-Novice!O$2, M$2-L$2, N$2-M$2, O$2-N$2, O$2-N$2),
choose(match(I6, {0, L6-(M6-L6), L6:O6}), 0, Novice!O$2, L$2, M$2, N$2, O$2)
 + (I6 - choose(match(I6, {0, L6-(M6-L6), L6:O6}), 0, L6-(M6-L6), L6, M6, N6, O6))
 / choose(match(I6, {0, L6-(M6-L6), L6:O6}), L6-(M6-L6), M6-L6, M6-L6, N6-M6, O6-N6, O6-N6)
 * choose(match(I6, {0, L6-(M6-L6), L6:O6}), Novice!O$2, L$2-Novice!O$2, M$2-L$2, N$2-M$2, O$2-N$2, O$2-N$2)
)))</f>
        <v>0</v>
      </c>
      <c r="L5" s="101">
        <f>IFERROR(__xludf.DUMMYFUNCTION("""COMPUTED_VALUE"""),1000.0)</f>
        <v>1000</v>
      </c>
      <c r="M5" s="107">
        <f>IFERROR(__xludf.DUMMYFUNCTION("""COMPUTED_VALUE"""),1100.0)</f>
        <v>1100</v>
      </c>
      <c r="N5" s="102">
        <f>IFERROR(__xludf.DUMMYFUNCTION("""COMPUTED_VALUE"""),1200.0)</f>
        <v>1200</v>
      </c>
      <c r="O5" s="103">
        <f>IFERROR(__xludf.DUMMYFUNCTION("""COMPUTED_VALUE"""),1300.0)</f>
        <v>1300</v>
      </c>
      <c r="P5" s="69" t="s">
        <v>38</v>
      </c>
    </row>
    <row r="6" ht="22.5" customHeight="1">
      <c r="C6" s="71" t="str">
        <f>IFERROR(__xludf.DUMMYFUNCTION("""COMPUTED_VALUE""")," VT Multiclick 120 Intermediate")</f>
        <v> VT Multiclick 120 Intermediate</v>
      </c>
      <c r="D6" s="50"/>
      <c r="E6" s="61"/>
      <c r="F6" s="100" t="str">
        <f>IFERROR(__xludf.DUMMYFUNCTION("sparkline(
  E6 - choose(match(E6, {0, L6:O6}), 0, L6, M6, N6, O6),
  {
    ""charttype"", ""bar"";
    ""max"", choose(match(E6, {0, L6:O6}), L6, M6-L6, N6-M6, O6-N6, 0);
    ""nan"", ""ignore"";
    ""color1"", iferror(choose(match(E6, {0, L6:O6}),
    "&amp;"  ""#2FCFC2"",
      ""#B9F2FF"",
      ""#85FA85"",
      ""#EC44CA"",
      ""#fbc2ea""
    ))
  }
)
"),"")</f>
        <v/>
      </c>
      <c r="H6" s="64"/>
      <c r="I6" s="94" t="str">
        <f>'Average Input'!D24</f>
        <v/>
      </c>
      <c r="J6" s="64" t="str">
        <f>IFERROR(__xludf.DUMMYFUNCTION("sparkline(
  I6 - choose(match(I6, {0, L6:O6}), 0, L6, M6, N6, O6),
  {
    ""charttype"", ""bar"";
    ""max"", choose(match(I6, {0, L6:O6}), L6, M6-L6, N6-M6, O6-N6, 0);
    ""nan"", ""ignore"";
    ""color1"", iferror(choose(match(I6, {0, L6:O6}),
    "&amp;"  ""#2FCFC2"",
      ""#B9F2FF"",
      ""#85FA85"",
      ""#EC44CA"",
      ""#fbc2ea""
    ))
  }
)
"),"")</f>
        <v/>
      </c>
      <c r="L6" s="101">
        <f>IFERROR(__xludf.DUMMYFUNCTION("""COMPUTED_VALUE"""),1360.0)</f>
        <v>1360</v>
      </c>
      <c r="M6" s="107">
        <f>IFERROR(__xludf.DUMMYFUNCTION("""COMPUTED_VALUE"""),1460.0)</f>
        <v>1460</v>
      </c>
      <c r="N6" s="102">
        <f>IFERROR(__xludf.DUMMYFUNCTION("""COMPUTED_VALUE"""),1560.0)</f>
        <v>1560</v>
      </c>
      <c r="O6" s="103">
        <f>IFERROR(__xludf.DUMMYFUNCTION("""COMPUTED_VALUE"""),1660.0)</f>
        <v>1660</v>
      </c>
    </row>
    <row r="7" ht="22.5" customHeight="1">
      <c r="B7" s="108" t="s">
        <v>61</v>
      </c>
      <c r="C7" s="109" t="str">
        <f>IFERROR(__xludf.DUMMYFUNCTION("""COMPUTED_VALUE""")," VT AngleStrafe Intermediate")</f>
        <v> VT AngleStrafe Intermediate</v>
      </c>
      <c r="D7" s="50"/>
      <c r="E7" s="94"/>
      <c r="F7" s="100" t="str">
        <f>IFERROR(__xludf.DUMMYFUNCTION("sparkline(
  E7 - choose(match(E7, {0, L7:O7}), 0, L7, M7, N7, O7),
  {
    ""charttype"", ""bar"";
    ""max"", choose(match(E7, {0, L7:O7}), L7, M7-L7, N7-M7, O7-N7, 0);
    ""nan"", ""ignore"";
    ""color1"", iferror(choose(match(E7, {0, L7:O7}),
    "&amp;"  ""#2FCFC2"",
      ""#B9F2FF"",
      ""#85FA85"",
      ""#EC44CA"",
      ""#fbc2ea""
    ))
  }
)
"),"")</f>
        <v/>
      </c>
      <c r="G7" s="110"/>
      <c r="H7" s="64"/>
      <c r="I7" s="94" t="str">
        <f>'Average Input'!D25</f>
        <v/>
      </c>
      <c r="J7" s="64" t="str">
        <f>IFERROR(__xludf.DUMMYFUNCTION("sparkline(
  I7 - choose(match(I7, {0, L7:O7}), 0, L7, M7, N7, O7),
  {
    ""charttype"", ""bar"";
    ""max"", choose(match(I7, {0, L7:O7}), L7, M7-L7, N7-M7, O7-N7, 0);
    ""nan"", ""ignore"";
    ""color1"", iferror(choose(match(I7, {0, L7:O7}),
    "&amp;"  ""#2FCFC2"",
      ""#B9F2FF"",
      ""#85FA85"",
      ""#EC44CA"",
      ""#fbc2ea""
    ))
  }
)
"),"")</f>
        <v/>
      </c>
      <c r="K7" s="110"/>
      <c r="L7" s="101">
        <f>IFERROR(__xludf.DUMMYFUNCTION("""COMPUTED_VALUE"""),740.0)</f>
        <v>740</v>
      </c>
      <c r="M7" s="107">
        <f>IFERROR(__xludf.DUMMYFUNCTION("""COMPUTED_VALUE"""),830.0)</f>
        <v>830</v>
      </c>
      <c r="N7" s="102">
        <f>IFERROR(__xludf.DUMMYFUNCTION("""COMPUTED_VALUE"""),920.0)</f>
        <v>920</v>
      </c>
      <c r="O7" s="103">
        <f>IFERROR(__xludf.DUMMYFUNCTION("""COMPUTED_VALUE"""),1000.0)</f>
        <v>1000</v>
      </c>
      <c r="P7" s="69" t="s">
        <v>62</v>
      </c>
    </row>
    <row r="8" ht="22.5" customHeight="1">
      <c r="C8" s="109" t="str">
        <f>IFERROR(__xludf.DUMMYFUNCTION("""COMPUTED_VALUE""")," VT ArcStrafe Intermediate")</f>
        <v> VT ArcStrafe Intermediate</v>
      </c>
      <c r="D8" s="50"/>
      <c r="E8" s="94"/>
      <c r="F8" s="100" t="str">
        <f>IFERROR(__xludf.DUMMYFUNCTION("sparkline(
  E8 - choose(match(E8, {0, L8:O8}), 0, L8, M8, N8, O8),
  {
    ""charttype"", ""bar"";
    ""max"", choose(match(E8, {0, L8:O8}), L8, M8-L8, N8-M8, O8-N8, 0);
    ""nan"", ""ignore"";
    ""color1"", iferror(choose(match(E8, {0, L8:O8}),
    "&amp;"  ""#2FCFC2"",
      ""#B9F2FF"",
      ""#85FA85"",
      ""#EC44CA"",
      ""#fbc2ea""
    ))
  }
)
"),"")</f>
        <v/>
      </c>
      <c r="H8" s="64"/>
      <c r="I8" s="94" t="str">
        <f>'Average Input'!D26</f>
        <v/>
      </c>
      <c r="J8" s="64" t="str">
        <f>IFERROR(__xludf.DUMMYFUNCTION("sparkline(
  I8 - choose(match(I8, {0, L8:O8}), 0, L8, M8, N8, O8),
  {
    ""charttype"", ""bar"";
    ""max"", choose(match(I8, {0, L8:O8}), L8, M8-L8, N8-M8, O8-N8, 0);
    ""nan"", ""ignore"";
    ""color1"", iferror(choose(match(I8, {0, L8:O8}),
    "&amp;"  ""#2FCFC2"",
      ""#B9F2FF"",
      ""#85FA85"",
      ""#EC44CA"",
      ""#fbc2ea""
    ))
  }
)
"),"")</f>
        <v/>
      </c>
      <c r="L8" s="101">
        <f>IFERROR(__xludf.DUMMYFUNCTION("""COMPUTED_VALUE"""),660.0)</f>
        <v>660</v>
      </c>
      <c r="M8" s="107">
        <f>IFERROR(__xludf.DUMMYFUNCTION("""COMPUTED_VALUE"""),750.0)</f>
        <v>750</v>
      </c>
      <c r="N8" s="102">
        <f>IFERROR(__xludf.DUMMYFUNCTION("""COMPUTED_VALUE"""),850.0)</f>
        <v>850</v>
      </c>
      <c r="O8" s="103">
        <f>IFERROR(__xludf.DUMMYFUNCTION("""COMPUTED_VALUE"""),940.0)</f>
        <v>940</v>
      </c>
    </row>
    <row r="9" ht="22.5" customHeight="1">
      <c r="A9" s="73" t="s">
        <v>39</v>
      </c>
      <c r="B9" s="74" t="s">
        <v>40</v>
      </c>
      <c r="C9" s="75" t="str">
        <f>IFERROR(__xludf.DUMMYFUNCTION("""COMPUTED_VALUE""")," VT Smoothbot Intermediate")</f>
        <v> VT Smoothbot Intermediate</v>
      </c>
      <c r="D9" s="50"/>
      <c r="E9" s="61"/>
      <c r="F9" s="100" t="str">
        <f>IFERROR(__xludf.DUMMYFUNCTION("sparkline(
  E9 - choose(match(E9, {0, L9:O9}), 0, L9, M9, N9, O9),
  {
    ""charttype"", ""bar"";
    ""max"", choose(match(E9, {0, L9:O9}), L9, M9-L9, N9-M9, O9-N9, 0);
    ""nan"", ""ignore"";
    ""color1"", iferror(choose(match(E9, {0, L9:O9}),
    "&amp;"  ""#2FCFC2"",
      ""#B9F2FF"",
      ""#85FA85"",
      ""#EC44CA"",
      ""#fbc2ea""
    ))
  }
)
"),"")</f>
        <v/>
      </c>
      <c r="G9" s="63">
        <f t="array" ref="G9">trunc(min(Advanced!L$2, max(
choose(match(E9, {0, L9-(M9-L9), L9:O9}), 0, Novice!O$2, L$2, M$2, N$2, O$2)
 + (E9 - choose(match(E9, {0, L9-(M9-L9), L9:O9}), 0, L9-(M9-L9), L9, M9, N9, O9))
 / choose(match(E9, {0, L9-(M9-L9), L9:O9}), L9-(M9-L9), M9-L9, M9-L9, N9-M9, O9-N9, O9-N9)
 * choose(match(E9, {0, L9-(M9-L9), L9:O9}), Novice!O$2, L$2-Novice!O$2, M$2-L$2, N$2-M$2, O$2-N$2, O$2-N$2),
choose(match(E10, {0, L10-(M10-L10), L10:O10}), 0, Novice!O$2, L$2, M$2, N$2, O$2)
 + (E10 - choose(match(E10, {0, L10-(M10-L10), L10:O10}), 0, L10-(M10-L10), L10, M10, N10, O10))
 / choose(match(E10, {0, L10-(M10-L10), L10:O10}), L10-(M10-L10), M10-L10, M10-L10, N10-M10, O10-N10, O10-N10)
 * choose(match(E10, {0, L10-(M10-L10), L10:O10}), Novice!O$2, L$2-Novice!O$2, M$2-L$2, N$2-M$2, O$2-N$2, O$2-N$2)
)))</f>
        <v>0</v>
      </c>
      <c r="H9" s="64"/>
      <c r="I9" s="94" t="str">
        <f>'Average Input'!D27</f>
        <v/>
      </c>
      <c r="J9" s="64" t="str">
        <f>IFERROR(__xludf.DUMMYFUNCTION("sparkline(
  I9 - choose(match(I9, {0, L9:O9}), 0, L9, M9, N9, O9),
  {
    ""charttype"", ""bar"";
    ""max"", choose(match(I9, {0, L9:O9}), L9, M9-L9, N9-M9, O9-N9, 0);
    ""nan"", ""ignore"";
    ""color1"", iferror(choose(match(I9, {0, L9:O9}),
    "&amp;"  ""#2FCFC2"",
      ""#B9F2FF"",
      ""#85FA85"",
      ""#EC44CA"",
      ""#fbc2ea""
    ))
  }
)
"),"")</f>
        <v/>
      </c>
      <c r="K9" s="63">
        <f t="array" ref="K9">trunc(min(
Advanced!L$2, max(
choose(match(I9, {0, L9-(M9-L9), L9:O9}), 0, Novice!O$2, L$2, M$2, N$2, O$2)
 + (I9 - choose(match(I9, {0, L9-(M9-L9), L9:O9}), 0, L9-(M9-L9), L9, M9, N9, O9))
 / choose(match(I9, {0, L9-(M9-L9), L9:O9}), L9-(M9-L9), M9-L9, M9-L9, N9-M9, O9-N9, O9-N9)
 * choose(match(I9, {0, L9-(M9-L9), L9:O9}), Novice!O$2, L$2-Novice!O$2, M$2-L$2, N$2-M$2, O$2-N$2, O$2-N$2),
choose(match(I10, {0, L10-(M10-L10), L10:O10}), 0, Novice!O$2, L$2, M$2, N$2, O$2)
 + (I10 - choose(match(I10, {0, L10-(M10-L10), L10:O10}), 0, L10-(M10-L10), L10, M10, N10, O10))
 / choose(match(I10, {0, L10-(M10-L10), L10:O10}), L10-(M10-L10), M10-L10, M10-L10, N10-M10, O10-N10, O10-N10)
 * choose(match(I10, {0, L10-(M10-L10), L10:O10}), Novice!O$2, L$2-Novice!O$2, M$2-L$2, N$2-M$2, O$2-N$2, O$2-N$2)
)))</f>
        <v>0</v>
      </c>
      <c r="L9" s="101">
        <f>IFERROR(__xludf.DUMMYFUNCTION("""COMPUTED_VALUE"""),3050.0)</f>
        <v>3050</v>
      </c>
      <c r="M9" s="63">
        <f>IFERROR(__xludf.DUMMYFUNCTION("""COMPUTED_VALUE"""),3450.0)</f>
        <v>3450</v>
      </c>
      <c r="N9" s="105">
        <f>IFERROR(__xludf.DUMMYFUNCTION("""COMPUTED_VALUE"""),3850.0)</f>
        <v>3850</v>
      </c>
      <c r="O9" s="103">
        <f>IFERROR(__xludf.DUMMYFUNCTION("""COMPUTED_VALUE"""),4250.0)</f>
        <v>4250</v>
      </c>
      <c r="P9" s="69" t="s">
        <v>41</v>
      </c>
    </row>
    <row r="10" ht="22.5" customHeight="1">
      <c r="C10" s="75" t="str">
        <f>IFERROR(__xludf.DUMMYFUNCTION("""COMPUTED_VALUE""")," VT PreciseOrb Intermediate")</f>
        <v> VT PreciseOrb Intermediate</v>
      </c>
      <c r="D10" s="50"/>
      <c r="E10" s="61"/>
      <c r="F10" s="100" t="str">
        <f>IFERROR(__xludf.DUMMYFUNCTION("sparkline(
  E10 - choose(match(E10, {0, L10:O10}), 0, L10, M10, N10, O10),
  {
    ""charttype"", ""bar"";
    ""max"", choose(match(E10, {0, L10:O10}), L10, M10-L10, N10-M10, O10-N10, 0);
    ""nan"", ""ignore"";
    ""color1"", iferror(choose(match(E10"&amp;", {0, L10:O10}),
      ""#2FCFC2"",
      ""#B9F2FF"",
      ""#85FA85"",
      ""#EC44CA"",
      ""#fbc2ea""
    ))
  }
)
"),"")</f>
        <v/>
      </c>
      <c r="H10" s="64"/>
      <c r="I10" s="94" t="str">
        <f>'Average Input'!D28</f>
        <v/>
      </c>
      <c r="J10" s="64" t="str">
        <f>IFERROR(__xludf.DUMMYFUNCTION("sparkline(
  I10 - choose(match(I10, {0, L10:O10}), 0, L10, M10, N10, O10),
  {
    ""charttype"", ""bar"";
    ""max"", choose(match(I10, {0, L10:O10}), L10, M10-L10, N10-M10, O10-N10, 0);
    ""nan"", ""ignore"";
    ""color1"", iferror(choose(match(I10"&amp;", {0, L10:O10}),
      ""#2FCFC2"",
      ""#B9F2FF"",
      ""#85FA85"",
      ""#EC44CA"",
      ""#fbc2ea""
    ))
  }
)
"),"")</f>
        <v/>
      </c>
      <c r="L10" s="101">
        <f>IFERROR(__xludf.DUMMYFUNCTION("""COMPUTED_VALUE"""),1650.0)</f>
        <v>1650</v>
      </c>
      <c r="M10" s="63">
        <f>IFERROR(__xludf.DUMMYFUNCTION("""COMPUTED_VALUE"""),2050.0)</f>
        <v>2050</v>
      </c>
      <c r="N10" s="105">
        <f>IFERROR(__xludf.DUMMYFUNCTION("""COMPUTED_VALUE"""),2450.0)</f>
        <v>2450</v>
      </c>
      <c r="O10" s="103">
        <f>IFERROR(__xludf.DUMMYFUNCTION("""COMPUTED_VALUE"""),2850.0)</f>
        <v>2850</v>
      </c>
    </row>
    <row r="11" ht="22.5" customHeight="1">
      <c r="B11" s="76" t="s">
        <v>42</v>
      </c>
      <c r="C11" s="77" t="str">
        <f>IFERROR(__xludf.DUMMYFUNCTION("""COMPUTED_VALUE""")," VT Plaza Intermediate")</f>
        <v> VT Plaza Intermediate</v>
      </c>
      <c r="D11" s="50"/>
      <c r="E11" s="61"/>
      <c r="F11" s="100" t="str">
        <f>IFERROR(__xludf.DUMMYFUNCTION("sparkline(
  E11 - choose(match(E11, {0, L11:O11}), 0, L11, M11, N11, O11),
  {
    ""charttype"", ""bar"";
    ""max"", choose(match(E11, {0, L11:O11}), L11, M11-L11, N11-M11, O11-N11, 0);
    ""nan"", ""ignore"";
    ""color1"", iferror(choose(match(E11"&amp;", {0, L11:O11}),
      ""#2FCFC2"",
      ""#B9F2FF"",
      ""#85FA85"",
      ""#EC44CA"",
      ""#fbc2ea""
    ))
  }
)
"),"")</f>
        <v/>
      </c>
      <c r="G11" s="63">
        <f t="array" ref="G11">trunc(min(Advanced!L$2, max(
choose(match(E11, {0, L11-(M11-L11), L11:O11}), 0, Novice!O$2, L$2, M$2, N$2, O$2)
 + (E11 - choose(match(E11, {0, L11-(M11-L11), L11:O11}), 0, L11-(M11-L11), L11, M11, N11, O11))
 / choose(match(E11, {0, L11-(M11-L11), L11:O11}), L11-(M11-L11), M11-L11, M11-L11, N11-M11, O11-N11, O11-N11)
 * choose(match(E11, {0, L11-(M11-L11), L11:O11}), Novice!O$2, L$2-Novice!O$2, M$2-L$2, N$2-M$2, O$2-N$2, O$2-N$2),
choose(match(E12, {0, L12-(M12-L12), L12:O12}), 0, Novice!O$2, L$2, M$2, N$2, O$2)
 + (E12 - choose(match(E12, {0, L12-(M12-L12), L12:O12}), 0, L12-(M12-L12), L12, M12, N12, O12))
 / choose(match(E12, {0, L12-(M12-L12), L12:O12}), L12-(M12-L12), M12-L12, M12-L12, N12-M12, O12-N12, O12-N12)
 * choose(match(E12, {0, L12-(M12-L12), L12:O12}), Novice!O$2, L$2-Novice!O$2, M$2-L$2, N$2-M$2, O$2-N$2, O$2-N$2)
)))</f>
        <v>0</v>
      </c>
      <c r="H11" s="64"/>
      <c r="I11" s="94" t="str">
        <f>'Average Input'!D29</f>
        <v/>
      </c>
      <c r="J11" s="64" t="str">
        <f>IFERROR(__xludf.DUMMYFUNCTION("sparkline(
  I11 - choose(match(I11, {0, L11:O11}), 0, L11, M11, N11, O11),
  {
    ""charttype"", ""bar"";
    ""max"", choose(match(I11, {0, L11:O11}), L11, M11-L11, N11-M11, O11-N11, 0);
    ""nan"", ""ignore"";
    ""color1"", iferror(choose(match(I11"&amp;", {0, L11:O11}),
      ""#2FCFC2"",
      ""#B9F2FF"",
      ""#85FA85"",
      ""#EC44CA"",
      ""#fbc2ea""
    ))
  }
)
"),"")</f>
        <v/>
      </c>
      <c r="K11" s="63">
        <f t="array" ref="K11">trunc(min(
Advanced!L$2, max(
choose(match(I11, {0, L11-(M11-L11), L11:O11}), 0, Novice!O$2, L$2, M$2, N$2, O$2)
 + (I11 - choose(match(I11, {0, L11-(M11-L11), L11:O11}), 0, L11-(M11-L11), L11, M11, N11, O11))
 / choose(match(I11, {0, L11-(M11-L11), L11:O11}), L11-(M11-L11), M11-L11, M11-L11, N11-M11, O11-N11, O11-N11)
 * choose(match(I11, {0, L11-(M11-L11), L11:O11}), Novice!O$2, L$2-Novice!O$2, M$2-L$2, N$2-M$2, O$2-N$2, O$2-N$2),
choose(match(I12, {0, L12-(M12-L12), L12:O12}), 0, Novice!O$2, L$2, M$2, N$2, O$2)
 + (I12 - choose(match(I12, {0, L12-(M12-L12), L12:O12}), 0, L12-(M12-L12), L12, M12, N12, O12))
 / choose(match(I12, {0, L12-(M12-L12), L12:O12}), L12-(M12-L12), M12-L12, M12-L12, N12-M12, O12-N12, O12-N12)
 * choose(match(I12, {0, L12-(M12-L12), L12:O12}), Novice!O$2, L$2-Novice!O$2, M$2-L$2, N$2-M$2, O$2-N$2, O$2-N$2)
)))</f>
        <v>0</v>
      </c>
      <c r="L11" s="101">
        <f>IFERROR(__xludf.DUMMYFUNCTION("""COMPUTED_VALUE"""),2680.0)</f>
        <v>2680</v>
      </c>
      <c r="M11" s="63">
        <f>IFERROR(__xludf.DUMMYFUNCTION("""COMPUTED_VALUE"""),2980.0)</f>
        <v>2980</v>
      </c>
      <c r="N11" s="105">
        <f>IFERROR(__xludf.DUMMYFUNCTION("""COMPUTED_VALUE"""),3280.0)</f>
        <v>3280</v>
      </c>
      <c r="O11" s="103">
        <f>IFERROR(__xludf.DUMMYFUNCTION("""COMPUTED_VALUE"""),3530.0)</f>
        <v>3530</v>
      </c>
      <c r="P11" s="69" t="s">
        <v>63</v>
      </c>
    </row>
    <row r="12" ht="22.5" customHeight="1">
      <c r="C12" s="77" t="str">
        <f>IFERROR(__xludf.DUMMYFUNCTION("""COMPUTED_VALUE""")," VT Air Intermediate")</f>
        <v> VT Air Intermediate</v>
      </c>
      <c r="D12" s="50"/>
      <c r="E12" s="61"/>
      <c r="F12" s="100" t="str">
        <f>IFERROR(__xludf.DUMMYFUNCTION("sparkline(
  E12 - choose(match(E12, {0, L12:O12}), 0, L12, M12, N12, O12),
  {
    ""charttype"", ""bar"";
    ""max"", choose(match(E12, {0, L12:O12}), L12, M12-L12, N12-M12, O12-N12, 0);
    ""nan"", ""ignore"";
    ""color1"", iferror(choose(match(E12"&amp;", {0, L12:O12}),
      ""#2FCFC2"",
      ""#B9F2FF"",
      ""#85FA85"",
      ""#EC44CA"",
      ""#fbc2ea""
    ))
  }
)
"),"")</f>
        <v/>
      </c>
      <c r="H12" s="64"/>
      <c r="I12" s="94" t="str">
        <f>'Average Input'!D30</f>
        <v/>
      </c>
      <c r="J12" s="64" t="str">
        <f>IFERROR(__xludf.DUMMYFUNCTION("sparkline(
  I12 - choose(match(I12, {0, L12:O12}), 0, L12, M12, N12, O12),
  {
    ""charttype"", ""bar"";
    ""max"", choose(match(I12, {0, L12:O12}), L12, M12-L12, N12-M12, O12-N12, 0);
    ""nan"", ""ignore"";
    ""color1"", iferror(choose(match(I12"&amp;", {0, L12:O12}),
      ""#2FCFC2"",
      ""#B9F2FF"",
      ""#85FA85"",
      ""#EC44CA"",
      ""#fbc2ea""
    ))
  }
)
"),"")</f>
        <v/>
      </c>
      <c r="L12" s="101">
        <f>IFERROR(__xludf.DUMMYFUNCTION("""COMPUTED_VALUE"""),2450.0)</f>
        <v>2450</v>
      </c>
      <c r="M12" s="63">
        <f>IFERROR(__xludf.DUMMYFUNCTION("""COMPUTED_VALUE"""),2700.0)</f>
        <v>2700</v>
      </c>
      <c r="N12" s="105">
        <f>IFERROR(__xludf.DUMMYFUNCTION("""COMPUTED_VALUE"""),2950.0)</f>
        <v>2950</v>
      </c>
      <c r="O12" s="103">
        <f>IFERROR(__xludf.DUMMYFUNCTION("""COMPUTED_VALUE"""),3200.0)</f>
        <v>3200</v>
      </c>
      <c r="Q12" s="111" t="s">
        <v>64</v>
      </c>
    </row>
    <row r="13" ht="22.5" customHeight="1">
      <c r="B13" s="112" t="s">
        <v>61</v>
      </c>
      <c r="C13" s="109" t="str">
        <f>IFERROR(__xludf.DUMMYFUNCTION("""COMPUTED_VALUE""")," VT PatStrafe Intermediate")</f>
        <v> VT PatStrafe Intermediate</v>
      </c>
      <c r="D13" s="50"/>
      <c r="E13" s="61"/>
      <c r="F13" s="100" t="str">
        <f>IFERROR(__xludf.DUMMYFUNCTION("sparkline(
  E13 - choose(match(E13, {0, L13:O13}), 0, L13, M13, N13, O13),
  {
    ""charttype"", ""bar"";
    ""max"", choose(match(E13, {0, L13:O13}), L13, M13-L13, N13-M13, O13-N13, 0);
    ""nan"", ""ignore"";
    ""color1"", iferror(choose(match(E13"&amp;", {0, L13:O13}),
      ""#2FCFC2"",
      ""#B9F2FF"",
      ""#85FA85"",
      ""#EC44CA"",
      ""#fbc2ea""
    ))
  }
)
"),"")</f>
        <v/>
      </c>
      <c r="G13" s="110"/>
      <c r="H13" s="64"/>
      <c r="I13" s="94" t="str">
        <f>'Average Input'!D31</f>
        <v/>
      </c>
      <c r="J13" s="64" t="str">
        <f>IFERROR(__xludf.DUMMYFUNCTION("sparkline(
  I13 - choose(match(I13, {0, L13:O13}), 0, L13, M13, N13, O13),
  {
    ""charttype"", ""bar"";
    ""max"", choose(match(I13, {0, L13:O13}), L13, M13-L13, N13-M13, O13-N13, 0);
    ""nan"", ""ignore"";
    ""color1"", iferror(choose(match(I13"&amp;", {0, L13:O13}),
      ""#2FCFC2"",
      ""#B9F2FF"",
      ""#85FA85"",
      ""#EC44CA"",
      ""#fbc2ea""
    ))
  }
)
"),"")</f>
        <v/>
      </c>
      <c r="K13" s="110"/>
      <c r="L13" s="113">
        <f>IFERROR(__xludf.DUMMYFUNCTION("""COMPUTED_VALUE"""),2260.0)</f>
        <v>2260</v>
      </c>
      <c r="M13" s="63">
        <f>IFERROR(__xludf.DUMMYFUNCTION("""COMPUTED_VALUE"""),2620.0)</f>
        <v>2620</v>
      </c>
      <c r="N13" s="105">
        <f>IFERROR(__xludf.DUMMYFUNCTION("""COMPUTED_VALUE"""),2800.0)</f>
        <v>2800</v>
      </c>
      <c r="O13" s="114">
        <f>IFERROR(__xludf.DUMMYFUNCTION("""COMPUTED_VALUE"""),3050.0)</f>
        <v>3050</v>
      </c>
      <c r="P13" s="69" t="s">
        <v>62</v>
      </c>
      <c r="Q13" s="106" t="s">
        <v>65</v>
      </c>
    </row>
    <row r="14" ht="22.5" customHeight="1">
      <c r="C14" s="109" t="str">
        <f>IFERROR(__xludf.DUMMYFUNCTION("""COMPUTED_VALUE""")," VT AirStrafe Intermediate")</f>
        <v> VT AirStrafe Intermediate</v>
      </c>
      <c r="D14" s="50"/>
      <c r="E14" s="61"/>
      <c r="F14" s="100" t="str">
        <f>IFERROR(__xludf.DUMMYFUNCTION("sparkline(
  E14 - choose(match(E14, {0, L14:O14}), 0, L14, M14, N14, O14),
  {
    ""charttype"", ""bar"";
    ""max"", choose(match(E14, {0, L14:O14}), L14, M14-L14, N14-M14, O14-N14, 0);
    ""nan"", ""ignore"";
    ""color1"", iferror(choose(match(E14"&amp;", {0, L14:O14}),
      ""#2FCFC2"",
      ""#B9F2FF"",
      ""#85FA85"",
      ""#EC44CA"",
      ""#fbc2ea""
    ))
  }
)
"),"")</f>
        <v/>
      </c>
      <c r="H14" s="64"/>
      <c r="I14" s="94" t="str">
        <f>'Average Input'!D32</f>
        <v/>
      </c>
      <c r="J14" s="64" t="str">
        <f>IFERROR(__xludf.DUMMYFUNCTION("sparkline(
  I14 - choose(match(I14, {0, L14:O14}), 0, L14, M14, N14, O14),
  {
    ""charttype"", ""bar"";
    ""max"", choose(match(I14, {0, L14:O14}), L14, M14-L14, N14-M14, O14-N14, 0);
    ""nan"", ""ignore"";
    ""color1"", iferror(choose(match(I14"&amp;", {0, L14:O14}),
      ""#2FCFC2"",
      ""#B9F2FF"",
      ""#85FA85"",
      ""#EC44CA"",
      ""#fbc2ea""
    ))
  }
)
"),"")</f>
        <v/>
      </c>
      <c r="L14" s="113">
        <f>IFERROR(__xludf.DUMMYFUNCTION("""COMPUTED_VALUE"""),2800.0)</f>
        <v>2800</v>
      </c>
      <c r="M14" s="63">
        <f>IFERROR(__xludf.DUMMYFUNCTION("""COMPUTED_VALUE"""),3000.0)</f>
        <v>3000</v>
      </c>
      <c r="N14" s="105">
        <f>IFERROR(__xludf.DUMMYFUNCTION("""COMPUTED_VALUE"""),3200.0)</f>
        <v>3200</v>
      </c>
      <c r="O14" s="114">
        <f>IFERROR(__xludf.DUMMYFUNCTION("""COMPUTED_VALUE"""),3400.0)</f>
        <v>3400</v>
      </c>
    </row>
    <row r="15" ht="22.5" customHeight="1">
      <c r="A15" s="78" t="s">
        <v>44</v>
      </c>
      <c r="B15" s="115" t="s">
        <v>45</v>
      </c>
      <c r="C15" s="80" t="str">
        <f>IFERROR(__xludf.DUMMYFUNCTION("""COMPUTED_VALUE""")," VT psalmTS Intermediate")</f>
        <v> VT psalmTS Intermediate</v>
      </c>
      <c r="D15" s="50"/>
      <c r="E15" s="61"/>
      <c r="F15" s="100" t="str">
        <f>IFERROR(__xludf.DUMMYFUNCTION("sparkline(
  E15 - choose(match(E15, {0, L15:O15}), 0, L15, M15, N15, O15),
  {
    ""charttype"", ""bar"";
    ""max"", choose(match(E15, {0, L15:O15}), L15, M15-L15, N15-M15, O15-N15, 0);
    ""nan"", ""ignore"";
    ""color1"", iferror(choose(match(E15"&amp;", {0, L15:O15}),
      ""#2FCFC2"",
      ""#B9F2FF"",
      ""#85FA85"",
      ""#EC44CA"",
      ""#fbc2ea""
    ))
  }
)
"),"")</f>
        <v/>
      </c>
      <c r="G15" s="63">
        <f t="array" ref="G15">trunc(min(Advanced!L$2, max(
choose(match(E15, {0, L15-(M15-L15), L15:O15}), 0, Novice!O$2, L$2, M$2, N$2, O$2)
 + (E15 - choose(match(E15, {0, L15-(M15-L15), L15:O15}), 0, L15-(M15-L15), L15, M15, N15, O15))
 / choose(match(E15, {0, L15-(M15-L15), L15:O15}), L15-(M15-L15), M15-L15, M15-L15, N15-M15, O15-N15, O15-N15)
 * choose(match(E15, {0, L15-(M15-L15), L15:O15}), Novice!O$2, L$2-Novice!O$2, M$2-L$2, N$2-M$2, O$2-N$2, O$2-N$2),
choose(match(E16, {0, L16-(M16-L16), L16:O16}), 0, Novice!O$2, L$2, M$2, N$2, O$2)
 + (E16 - choose(match(E16, {0, L16-(M16-L16), L16:O16}), 0, L16-(M16-L16), L16, M16, N16, O16))
 / choose(match(E16, {0, L16-(M16-L16), L16:O16}), L16-(M16-L16), M16-L16, M16-L16, N16-M16, O16-N16, O16-N16)
 * choose(match(E16, {0, L16-(M16-L16), L16:O16}), Novice!O$2, L$2-Novice!O$2, M$2-L$2, N$2-M$2, O$2-N$2, O$2-N$2)
)))</f>
        <v>0</v>
      </c>
      <c r="H15" s="64"/>
      <c r="I15" s="94" t="str">
        <f>'Average Input'!D33</f>
        <v/>
      </c>
      <c r="J15" s="64" t="str">
        <f>IFERROR(__xludf.DUMMYFUNCTION("sparkline(
  I15 - choose(match(I15, {0, L15:O15}), 0, L15, M15, N15, O15),
  {
    ""charttype"", ""bar"";
    ""max"", choose(match(I15, {0, L15:O15}), L15, M15-L15, N15-M15, O15-N15, 0);
    ""nan"", ""ignore"";
    ""color1"", iferror(choose(match(I15"&amp;", {0, L15:O15}),
      ""#2FCFC2"",
      ""#B9F2FF"",
      ""#85FA85"",
      ""#EC44CA"",
      ""#fbc2ea""
    ))
  }
)
"),"")</f>
        <v/>
      </c>
      <c r="K15" s="63">
        <f t="array" ref="K15">trunc(min(
Advanced!L$2, max(
choose(match(I15, {0, L15-(M15-L15), L15:O15}), 0, Novice!O$2, L$2, M$2, N$2, O$2)
 + (I15 - choose(match(I15, {0, L15-(M15-L15), L15:O15}), 0, L15-(M15-L15), L15, M15, N15, O15))
 / choose(match(I15, {0, L15-(M15-L15), L15:O15}), L15-(M15-L15), M15-L15, M15-L15, N15-M15, O15-N15, O15-N15)
 * choose(match(I15, {0, L15-(M15-L15), L15:O15}), Novice!O$2, L$2-Novice!O$2, M$2-L$2, N$2-M$2, O$2-N$2, O$2-N$2),
choose(match(I16, {0, L16-(M16-L16), L16:O16}), 0, Novice!O$2, L$2, M$2, N$2, O$2)
 + (I16 - choose(match(I16, {0, L16-(M16-L16), L16:O16}), 0, L16-(M16-L16), L16, M16, N16, O16))
 / choose(match(I16, {0, L16-(M16-L16), L16:O16}), L16-(M16-L16), M16-L16, M16-L16, N16-M16, O16-N16, O16-N16)
 * choose(match(I16, {0, L16-(M16-L16), L16:O16}), Novice!O$2, L$2-Novice!O$2, M$2-L$2, N$2-M$2, O$2-N$2, O$2-N$2)
)))</f>
        <v>0</v>
      </c>
      <c r="L15" s="113">
        <f>IFERROR(__xludf.DUMMYFUNCTION("""COMPUTED_VALUE"""),810.0)</f>
        <v>810</v>
      </c>
      <c r="M15" s="63">
        <f>IFERROR(__xludf.DUMMYFUNCTION("""COMPUTED_VALUE"""),880.0)</f>
        <v>880</v>
      </c>
      <c r="N15" s="105">
        <f>IFERROR(__xludf.DUMMYFUNCTION("""COMPUTED_VALUE"""),950.0)</f>
        <v>950</v>
      </c>
      <c r="O15" s="103">
        <f>IFERROR(__xludf.DUMMYFUNCTION("""COMPUTED_VALUE"""),1020.0)</f>
        <v>1020</v>
      </c>
      <c r="P15" s="69" t="s">
        <v>66</v>
      </c>
    </row>
    <row r="16" ht="22.5" customHeight="1">
      <c r="C16" s="80" t="str">
        <f>IFERROR(__xludf.DUMMYFUNCTION("""COMPUTED_VALUE""")," VT skyTS Intermediate")</f>
        <v> VT skyTS Intermediate</v>
      </c>
      <c r="D16" s="50"/>
      <c r="E16" s="61"/>
      <c r="F16" s="100" t="str">
        <f>IFERROR(__xludf.DUMMYFUNCTION("sparkline(
  E16 - choose(match(E16, {0, L16:O16}), 0, L16, M16, N16, O16),
  {
    ""charttype"", ""bar"";
    ""max"", choose(match(E16, {0, L16:O16}), L16, M16-L16, N16-M16, O16-N16, 0);
    ""nan"", ""ignore"";
    ""color1"", iferror(choose(match(E16"&amp;", {0, L16:O16}),
      ""#2FCFC2"",
      ""#B9F2FF"",
      ""#85FA85"",
      ""#EC44CA"",
      ""#fbc2ea""
    ))
  }
)
"),"")</f>
        <v/>
      </c>
      <c r="H16" s="64"/>
      <c r="I16" s="94" t="str">
        <f>'Average Input'!D34</f>
        <v/>
      </c>
      <c r="J16" s="64" t="str">
        <f>IFERROR(__xludf.DUMMYFUNCTION("sparkline(
  I16 - choose(match(I16, {0, L16:O16}), 0, L16, M16, N16, O16),
  {
    ""charttype"", ""bar"";
    ""max"", choose(match(I16, {0, L16:O16}), L16, M16-L16, N16-M16, O16-N16, 0);
    ""nan"", ""ignore"";
    ""color1"", iferror(choose(match(I16"&amp;", {0, L16:O16}),
      ""#2FCFC2"",
      ""#B9F2FF"",
      ""#85FA85"",
      ""#EC44CA"",
      ""#fbc2ea""
    ))
  }
)
"),"")</f>
        <v/>
      </c>
      <c r="L16" s="101">
        <f>IFERROR(__xludf.DUMMYFUNCTION("""COMPUTED_VALUE"""),1030.0)</f>
        <v>1030</v>
      </c>
      <c r="M16" s="63">
        <f>IFERROR(__xludf.DUMMYFUNCTION("""COMPUTED_VALUE"""),1130.0)</f>
        <v>1130</v>
      </c>
      <c r="N16" s="105">
        <f>IFERROR(__xludf.DUMMYFUNCTION("""COMPUTED_VALUE"""),1220.0)</f>
        <v>1220</v>
      </c>
      <c r="O16" s="103">
        <f>IFERROR(__xludf.DUMMYFUNCTION("""COMPUTED_VALUE"""),1300.0)</f>
        <v>1300</v>
      </c>
    </row>
    <row r="17" ht="22.5" customHeight="1">
      <c r="B17" s="116" t="s">
        <v>47</v>
      </c>
      <c r="C17" s="82" t="str">
        <f>IFERROR(__xludf.DUMMYFUNCTION("""COMPUTED_VALUE""")," VT evaTS Intermediate")</f>
        <v> VT evaTS Intermediate</v>
      </c>
      <c r="D17" s="50"/>
      <c r="E17" s="61"/>
      <c r="F17" s="100" t="str">
        <f>IFERROR(__xludf.DUMMYFUNCTION("sparkline(
  E17 - choose(match(E17, {0, L17:O17}), 0, L17, M17, N17, O17),
  {
    ""charttype"", ""bar"";
    ""max"", choose(match(E17, {0, L17:O17}), L17, M17-L17, N17-M17, O17-N17, 0);
    ""nan"", ""ignore"";
    ""color1"", iferror(choose(match(E17"&amp;", {0, L17:O17}),
      ""#2FCFC2"",
      ""#B9F2FF"",
      ""#85FA85"",
      ""#EC44CA"",
      ""#fbc2ea""
    ))
  }
)
"),"")</f>
        <v/>
      </c>
      <c r="G17" s="63">
        <f t="array" ref="G17">trunc(min(Advanced!L$2, max(
choose(match(E17, {0, L17-(M17-L17), L17:O17}), 0, Novice!O$2, L$2, M$2, N$2, O$2)
 + (E17 - choose(match(E17, {0, L17-(M17-L17), L17:O17}), 0, L17-(M17-L17), L17, M17, N17, O17))
 / choose(match(E17, {0, L17-(M17-L17), L17:O17}), L17-(M17-L17), M17-L17, M17-L17, N17-M17, O17-N17, O17-N17)
 * choose(match(E17, {0, L17-(M17-L17), L17:O17}), Novice!O$2, L$2-Novice!O$2, M$2-L$2, N$2-M$2, O$2-N$2, O$2-N$2),
choose(match(E18, {0, L18-(M18-L18), L18:O18}), 0, Novice!O$2, L$2, M$2, N$2, O$2)
 + (E18 - choose(match(E18, {0, L18-(M18-L18), L18:O18}), 0, L18-(M18-L18), L18, M18, N18, O18))
 / choose(match(E18, {0, L18-(M18-L18), L18:O18}), L18-(M18-L18), M18-L18, M18-L18, N18-M18, O18-N18, O18-N18)
 * choose(match(E18, {0, L18-(M18-L18), L18:O18}), Novice!O$2, L$2-Novice!O$2, M$2-L$2, N$2-M$2, O$2-N$2, O$2-N$2)
)))</f>
        <v>0</v>
      </c>
      <c r="H17" s="64"/>
      <c r="I17" s="94" t="str">
        <f>'Average Input'!D35</f>
        <v/>
      </c>
      <c r="J17" s="64" t="str">
        <f>IFERROR(__xludf.DUMMYFUNCTION("sparkline(
  I17 - choose(match(I17, {0, L17:O17}), 0, L17, M17, N17, O17),
  {
    ""charttype"", ""bar"";
    ""max"", choose(match(I17, {0, L17:O17}), L17, M17-L17, N17-M17, O17-N17, 0);
    ""nan"", ""ignore"";
    ""color1"", iferror(choose(match(I17"&amp;", {0, L17:O17}),
      ""#2FCFC2"",
      ""#B9F2FF"",
      ""#85FA85"",
      ""#EC44CA"",
      ""#fbc2ea""
    ))
  }
)
"),"")</f>
        <v/>
      </c>
      <c r="K17" s="63">
        <f t="array" ref="K17">trunc(min(
Advanced!L$2, max(
choose(match(I17, {0, L17-(M17-L17), L17:O17}), 0, Novice!O$2, L$2, M$2, N$2, O$2)
 + (I17 - choose(match(I17, {0, L17-(M17-L17), L17:O17}), 0, L17-(M17-L17), L17, M17, N17, O17))
 / choose(match(I17, {0, L17-(M17-L17), L17:O17}), L17-(M17-L17), M17-L17, M17-L17, N17-M17, O17-N17, O17-N17)
 * choose(match(I17, {0, L17-(M17-L17), L17:O17}), Novice!O$2, L$2-Novice!O$2, M$2-L$2, N$2-M$2, O$2-N$2, O$2-N$2),
choose(match(I18, {0, L18-(M18-L18), L18:O18}), 0, Novice!O$2, L$2, M$2, N$2, O$2)
 + (I18 - choose(match(I18, {0, L18-(M18-L18), L18:O18}), 0, L18-(M18-L18), L18, M18, N18, O18))
 / choose(match(I18, {0, L18-(M18-L18), L18:O18}), L18-(M18-L18), M18-L18, M18-L18, N18-M18, O18-N18, O18-N18)
 * choose(match(I18, {0, L18-(M18-L18), L18:O18}), Novice!O$2, L$2-Novice!O$2, M$2-L$2, N$2-M$2, O$2-N$2, O$2-N$2)
)))</f>
        <v>0</v>
      </c>
      <c r="L17" s="101">
        <f>IFERROR(__xludf.DUMMYFUNCTION("""COMPUTED_VALUE"""),550.0)</f>
        <v>550</v>
      </c>
      <c r="M17" s="63">
        <f>IFERROR(__xludf.DUMMYFUNCTION("""COMPUTED_VALUE"""),600.0)</f>
        <v>600</v>
      </c>
      <c r="N17" s="105">
        <f>IFERROR(__xludf.DUMMYFUNCTION("""COMPUTED_VALUE"""),650.0)</f>
        <v>650</v>
      </c>
      <c r="O17" s="103">
        <f>IFERROR(__xludf.DUMMYFUNCTION("""COMPUTED_VALUE"""),700.0)</f>
        <v>700</v>
      </c>
      <c r="P17" s="69" t="s">
        <v>48</v>
      </c>
    </row>
    <row r="18" ht="22.5" customHeight="1">
      <c r="C18" s="82" t="str">
        <f>IFERROR(__xludf.DUMMYFUNCTION("""COMPUTED_VALUE""")," VT bounceTS Intermediate")</f>
        <v> VT bounceTS Intermediate</v>
      </c>
      <c r="D18" s="50"/>
      <c r="E18" s="61"/>
      <c r="F18" s="100" t="str">
        <f>IFERROR(__xludf.DUMMYFUNCTION("sparkline(
  E18 - choose(match(E18, {0, L18:O18}), 0, L18, M18, N18, O18),
  {
    ""charttype"", ""bar"";
    ""max"", choose(match(E18, {0, L18:O18}), L18, M18-L18, N18-M18, O18-N18, 0);
    ""nan"", ""ignore"";
    ""color1"", iferror(choose(match(E18"&amp;", {0, L18:O18}),
      ""#2FCFC2"",
      ""#B9F2FF"",
      ""#85FA85"",
      ""#EC44CA"",
      ""#fbc2ea""
    ))
  }
)
"),"")</f>
        <v/>
      </c>
      <c r="H18" s="64"/>
      <c r="I18" s="94" t="str">
        <f>'Average Input'!D36</f>
        <v/>
      </c>
      <c r="J18" s="64" t="str">
        <f>IFERROR(__xludf.DUMMYFUNCTION("sparkline(
  I18 - choose(match(I18, {0, L18:O18}), 0, L18, M18, N18, O18),
  {
    ""charttype"", ""bar"";
    ""max"", choose(match(I18, {0, L18:O18}), L18, M18-L18, N18-M18, O18-N18, 0);
    ""nan"", ""ignore"";
    ""color1"", iferror(choose(match(I18"&amp;", {0, L18:O18}),
      ""#2FCFC2"",
      ""#B9F2FF"",
      ""#85FA85"",
      ""#EC44CA"",
      ""#fbc2ea""
    ))
  }
)
"),"")</f>
        <v/>
      </c>
      <c r="L18" s="101">
        <f>IFERROR(__xludf.DUMMYFUNCTION("""COMPUTED_VALUE"""),630.0)</f>
        <v>630</v>
      </c>
      <c r="M18" s="63">
        <f>IFERROR(__xludf.DUMMYFUNCTION("""COMPUTED_VALUE"""),670.0)</f>
        <v>670</v>
      </c>
      <c r="N18" s="105">
        <f>IFERROR(__xludf.DUMMYFUNCTION("""COMPUTED_VALUE"""),710.0)</f>
        <v>710</v>
      </c>
      <c r="O18" s="103">
        <f>IFERROR(__xludf.DUMMYFUNCTION("""COMPUTED_VALUE"""),760.0)</f>
        <v>760</v>
      </c>
    </row>
    <row r="19" ht="22.5" customHeight="1">
      <c r="A19" s="86" t="s">
        <v>49</v>
      </c>
      <c r="F19" s="117" t="str">
        <f>IFERROR(__xludf.DUMMYFUNCTION("if(importrange(""https://docs.google.com/spreadsheets/d/1qUzF2KHcfs_FgsaDFRfGsLgHhoC1Md5bzMOUbsYzSjg"", ""Changelog!A2:A2"")=indirect(""Changelog!A2""), concatenate(""Sheet Version: "", Changelog!A2), hyperlink(""https://docs.google.com/spreadsheets/d/1qU"&amp;"zF2KHcfs_FgsaDFRfGsLgHhoC1Md5bzMOUbsYzSjg"", ""Outdated version, click link &amp; make a new copy!""))"),"Sheet Version: 1.2.9")</f>
        <v>Sheet Version: 1.2.9</v>
      </c>
      <c r="M19" s="45" t="str">
        <f>HYPERLINK("https://voltaic.gg/", "Website↗")</f>
        <v>Website↗</v>
      </c>
      <c r="N19" s="45" t="str">
        <f>HYPERLINK("http://discord.gg/voltaic","Discord↗")</f>
        <v>Discord↗</v>
      </c>
      <c r="O19" s="45" t="str">
        <f>HYPERLINK("http://twitter.com/voltaichq","Twitter↗")</f>
        <v>Twitter↗</v>
      </c>
      <c r="P19" s="88" t="s">
        <v>50</v>
      </c>
      <c r="Q19" s="118" t="s">
        <v>67</v>
      </c>
    </row>
    <row r="20" ht="22.5" customHeight="1">
      <c r="A20" s="119" t="s">
        <v>68</v>
      </c>
      <c r="P20" s="90" t="s">
        <v>52</v>
      </c>
    </row>
    <row r="21" ht="22.5" customHeight="1">
      <c r="A21" s="91" t="s">
        <v>69</v>
      </c>
      <c r="M21" s="45" t="str">
        <f>HYPERLINK("https://www.youtube.com/voltaichq","YouTube↗")</f>
        <v>YouTube↗</v>
      </c>
      <c r="N21" s="45" t="str">
        <f>HYPERLINK("https://bit.ly/VTxKvKsGuide","Guide↗")</f>
        <v>Guide↗</v>
      </c>
      <c r="O21" s="45" t="str">
        <f>HYPERLINK("https://docs.google.com/document/d/1omExq_y4ld9vkvbTFkLdjlT5UwQpvYSgyk5PgA7nrzM/edit?usp=sharing","Rules↗")</f>
        <v>Rules↗</v>
      </c>
      <c r="P21" s="90" t="s">
        <v>54</v>
      </c>
    </row>
    <row r="22" ht="22.5" customHeight="1">
      <c r="P22" s="92" t="s">
        <v>55</v>
      </c>
    </row>
  </sheetData>
  <mergeCells count="51">
    <mergeCell ref="A20:E20"/>
    <mergeCell ref="A21:L22"/>
    <mergeCell ref="M21:M22"/>
    <mergeCell ref="N21:N22"/>
    <mergeCell ref="O21:O22"/>
    <mergeCell ref="B15:B16"/>
    <mergeCell ref="B17:B18"/>
    <mergeCell ref="A19:E19"/>
    <mergeCell ref="F19:L20"/>
    <mergeCell ref="M19:M20"/>
    <mergeCell ref="N19:N20"/>
    <mergeCell ref="O19:O20"/>
    <mergeCell ref="G3:G4"/>
    <mergeCell ref="G5:G6"/>
    <mergeCell ref="G9:G10"/>
    <mergeCell ref="G11:G12"/>
    <mergeCell ref="G13:G14"/>
    <mergeCell ref="G15:G16"/>
    <mergeCell ref="G17:G18"/>
    <mergeCell ref="K5:K6"/>
    <mergeCell ref="K7:K8"/>
    <mergeCell ref="K9:K10"/>
    <mergeCell ref="K11:K12"/>
    <mergeCell ref="K13:K14"/>
    <mergeCell ref="K15:K16"/>
    <mergeCell ref="K17:K18"/>
    <mergeCell ref="A1:C1"/>
    <mergeCell ref="D1:F1"/>
    <mergeCell ref="H1:J1"/>
    <mergeCell ref="A3:A8"/>
    <mergeCell ref="B3:B4"/>
    <mergeCell ref="K3:K4"/>
    <mergeCell ref="G7:G8"/>
    <mergeCell ref="P13:P14"/>
    <mergeCell ref="P15:P16"/>
    <mergeCell ref="B5:B6"/>
    <mergeCell ref="B7:B8"/>
    <mergeCell ref="A9:A14"/>
    <mergeCell ref="B9:B10"/>
    <mergeCell ref="B11:B12"/>
    <mergeCell ref="B13:B14"/>
    <mergeCell ref="A15:A18"/>
    <mergeCell ref="Q13:Q18"/>
    <mergeCell ref="Q19:Q22"/>
    <mergeCell ref="P3:P4"/>
    <mergeCell ref="Q4:Q11"/>
    <mergeCell ref="P5:P6"/>
    <mergeCell ref="P7:P8"/>
    <mergeCell ref="P9:P10"/>
    <mergeCell ref="P11:P12"/>
    <mergeCell ref="P17:P18"/>
  </mergeCells>
  <conditionalFormatting sqref="D1 H1">
    <cfRule type="beginsWith" dxfId="18" priority="1" operator="beginsWith" text="Master">
      <formula>LEFT((D1),LEN("Master"))=("Master")</formula>
    </cfRule>
  </conditionalFormatting>
  <conditionalFormatting sqref="D1 H1">
    <cfRule type="beginsWith" dxfId="19" priority="2" operator="beginsWith" text="Jade">
      <formula>LEFT((D1),LEN("Jade"))=("Jade")</formula>
    </cfRule>
  </conditionalFormatting>
  <conditionalFormatting sqref="D1 H1">
    <cfRule type="beginsWith" dxfId="20" priority="3" operator="beginsWith" text="Diamond">
      <formula>LEFT((D1),LEN("Diamond"))=("Diamond")</formula>
    </cfRule>
  </conditionalFormatting>
  <conditionalFormatting sqref="D1 H1">
    <cfRule type="beginsWith" dxfId="21" priority="4" operator="beginsWith" text="Platinum">
      <formula>LEFT((D1),LEN("Platinum"))=("Platinum")</formula>
    </cfRule>
  </conditionalFormatting>
  <conditionalFormatting sqref="D1 H1">
    <cfRule type="beginsWith" dxfId="17" priority="5" operator="beginsWith" text="Unranked">
      <formula>LEFT((D1),LEN("Unranked"))=("Unranked")</formula>
    </cfRule>
  </conditionalFormatting>
  <conditionalFormatting sqref="D3:D18 H3:H18">
    <cfRule type="expression" dxfId="22" priority="6">
      <formula>ARRAYFORMULA(E3:E18&gt;=$O3:O18)</formula>
    </cfRule>
  </conditionalFormatting>
  <conditionalFormatting sqref="D3:D18 H3:H18">
    <cfRule type="expression" dxfId="23" priority="7">
      <formula>ARRAYFORMULA(E3:E18&gt;=$N3:N18)</formula>
    </cfRule>
  </conditionalFormatting>
  <conditionalFormatting sqref="D3:D18 H3:H18">
    <cfRule type="expression" dxfId="24" priority="8">
      <formula>ARRAYFORMULA(E3:E18&gt;=$M3:M18)</formula>
    </cfRule>
  </conditionalFormatting>
  <conditionalFormatting sqref="D3:D18 H3:H18">
    <cfRule type="expression" dxfId="25" priority="9">
      <formula>ARRAYFORMULA(E3:E18&gt;=$L3:L18)</formula>
    </cfRule>
  </conditionalFormatting>
  <conditionalFormatting sqref="E3:E18 I3:I18">
    <cfRule type="expression" dxfId="26" priority="10">
      <formula>ARRAYFORMULA(E3:E18&gt;=$O3:O18)</formula>
    </cfRule>
  </conditionalFormatting>
  <conditionalFormatting sqref="E3:E18 I3:I18">
    <cfRule type="expression" dxfId="27" priority="11">
      <formula>ARRAYFORMULA(E3:E18&gt;=$N3:N18)</formula>
    </cfRule>
  </conditionalFormatting>
  <conditionalFormatting sqref="E3:E18 I3:I18">
    <cfRule type="expression" dxfId="28" priority="12">
      <formula>ARRAYFORMULA(E3:E18&gt;=$M3:M18)</formula>
    </cfRule>
  </conditionalFormatting>
  <conditionalFormatting sqref="E3:E18 I3:I18">
    <cfRule type="expression" dxfId="29" priority="13">
      <formula>ARRAYFORMULA(E3:E18&gt;=$L3:L18)</formula>
    </cfRule>
  </conditionalFormatting>
  <conditionalFormatting sqref="G3:G18 K3:K18">
    <cfRule type="expression" dxfId="30" priority="14">
      <formula>ARRAYFORMULA(G3:G18&gt;=$O$2)</formula>
    </cfRule>
  </conditionalFormatting>
  <conditionalFormatting sqref="G3:G18 K3:K18">
    <cfRule type="expression" dxfId="31" priority="15">
      <formula>ARRAYFORMULA(G3:G18&gt;=$N$2)</formula>
    </cfRule>
  </conditionalFormatting>
  <conditionalFormatting sqref="G3:G18 K3:K18">
    <cfRule type="expression" dxfId="32" priority="16">
      <formula>ARRAYFORMULA(G3:G18&gt;=$M$2)</formula>
    </cfRule>
  </conditionalFormatting>
  <conditionalFormatting sqref="G3:G18 K3:K18">
    <cfRule type="expression" dxfId="33" priority="17">
      <formula>ARRAYFORMULA(G3:G18&gt;=$L$2)</formula>
    </cfRule>
  </conditionalFormatting>
  <conditionalFormatting sqref="F19:L20">
    <cfRule type="containsText" dxfId="0" priority="18" operator="containsText" text="Outdated">
      <formula>NOT(ISERROR(SEARCH(("Outdated"),(F19))))</formula>
    </cfRule>
  </conditionalFormatting>
  <hyperlinks>
    <hyperlink r:id="rId2" ref="A21"/>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596F"/>
    <outlinePr summaryBelow="0" summaryRight="0"/>
  </sheetPr>
  <sheetViews>
    <sheetView workbookViewId="0"/>
  </sheetViews>
  <sheetFormatPr customHeight="1" defaultColWidth="12.63" defaultRowHeight="15.75"/>
  <cols>
    <col customWidth="1" min="1" max="1" width="2.75"/>
    <col customWidth="1" min="2" max="2" width="2.63"/>
    <col customWidth="1" min="3" max="3" width="22.63"/>
    <col customWidth="1" min="4" max="4" width="0.38"/>
    <col customWidth="1" min="5" max="6" width="9.5"/>
    <col customWidth="1" min="7" max="7" width="6.38"/>
    <col customWidth="1" min="8" max="8" width="0.38"/>
    <col customWidth="1" min="9" max="10" width="9.5"/>
    <col customWidth="1" min="11" max="11" width="6.38"/>
    <col customWidth="1" min="12" max="15" width="11.0"/>
    <col customWidth="1" min="16" max="17" width="65.13"/>
  </cols>
  <sheetData>
    <row r="1" ht="22.5" customHeight="1">
      <c r="A1" s="47" t="s">
        <v>70</v>
      </c>
      <c r="D1" s="120" t="str">
        <f t="array" ref="D1">concatenate(choose(match(G2, {0, L2:O2}), "Unranked", L1, M1, N1, O1), if(and(E3:E18 &gt;= choose(match(G2, {0, L2:O2}), 1E+99, L3:L18, M3:M18, N3:N18, O3:O18)), " Complete", ""))</f>
        <v>Unranked</v>
      </c>
      <c r="G1" s="49" t="s">
        <v>27</v>
      </c>
      <c r="H1" s="61" t="str">
        <f t="array" ref="H1">concatenate(choose(match(K2, {0, L2:O2}), "Unranked", L1, M1, N1, O1), if(and(I3:I18 &gt;= choose(match(G2, {0, L2:O2}), 1E+99, L3:L18, M3:M18, N3:N18, O3:O18)), " Complete", ""))</f>
        <v>Unranked</v>
      </c>
      <c r="K1" s="49" t="s">
        <v>27</v>
      </c>
      <c r="L1" s="26" t="str">
        <f>IFERROR(__xludf.DUMMYFUNCTION("importrange(""https://docs.google.com/spreadsheets/d/10ck-sXoSgAYeiVI9iaaWwSqxC7KoxNO-2AtO08C-eCw"", ""Benchmarks!R3:U20"")"),"Grandmaster")</f>
        <v>Grandmaster</v>
      </c>
      <c r="M1" s="27" t="str">
        <f>IFERROR(__xludf.DUMMYFUNCTION("""COMPUTED_VALUE"""),"Nova")</f>
        <v>Nova</v>
      </c>
      <c r="N1" s="28" t="str">
        <f>IFERROR(__xludf.DUMMYFUNCTION("""COMPUTED_VALUE"""),"Astra")</f>
        <v>Astra</v>
      </c>
      <c r="O1" s="29" t="str">
        <f>IFERROR(__xludf.DUMMYFUNCTION("""COMPUTED_VALUE"""),"Celestial")</f>
        <v>Celestial</v>
      </c>
      <c r="P1" s="2" t="s">
        <v>28</v>
      </c>
      <c r="Q1" s="95" t="s">
        <v>57</v>
      </c>
    </row>
    <row r="2" ht="22.5" customHeight="1">
      <c r="A2" s="51"/>
      <c r="B2" s="121"/>
      <c r="C2" s="53" t="s">
        <v>29</v>
      </c>
      <c r="D2" s="53"/>
      <c r="E2" s="53" t="s">
        <v>30</v>
      </c>
      <c r="F2" s="53" t="s">
        <v>31</v>
      </c>
      <c r="G2" s="54">
        <f>iferror(trunc(harmean(G3:G18)), 0)</f>
        <v>0</v>
      </c>
      <c r="H2" s="53"/>
      <c r="I2" s="53" t="s">
        <v>32</v>
      </c>
      <c r="J2" s="53" t="s">
        <v>31</v>
      </c>
      <c r="K2" s="54">
        <f>iferror(trunc(harmean(K3:K18)), 0)</f>
        <v>0</v>
      </c>
      <c r="L2" s="39">
        <f>IFERROR(__xludf.DUMMYFUNCTION("""COMPUTED_VALUE"""),900.0)</f>
        <v>900</v>
      </c>
      <c r="M2" s="40">
        <f>IFERROR(__xludf.DUMMYFUNCTION("""COMPUTED_VALUE"""),1000.0)</f>
        <v>1000</v>
      </c>
      <c r="N2" s="41">
        <f>IFERROR(__xludf.DUMMYFUNCTION("""COMPUTED_VALUE"""),1100.0)</f>
        <v>1100</v>
      </c>
      <c r="O2" s="42">
        <f>IFERROR(__xludf.DUMMYFUNCTION("""COMPUTED_VALUE"""),1200.0)</f>
        <v>1200</v>
      </c>
      <c r="P2" s="57" t="s">
        <v>33</v>
      </c>
      <c r="Q2" s="98" t="s">
        <v>58</v>
      </c>
    </row>
    <row r="3" ht="22.5" customHeight="1">
      <c r="A3" s="58" t="s">
        <v>34</v>
      </c>
      <c r="B3" s="99" t="s">
        <v>35</v>
      </c>
      <c r="C3" s="60" t="str">
        <f>IFERROR(__xludf.DUMMYFUNCTION("importrange(""https://docs.google.com/spreadsheets/d/10ck-sXoSgAYeiVI9iaaWwSqxC7KoxNO-2AtO08C-eCw/"", ""Benchmarks!Q5:Q20"")")," VT Pasu Rasp Advanced")</f>
        <v> VT Pasu Rasp Advanced</v>
      </c>
      <c r="D3" s="61"/>
      <c r="E3" s="61"/>
      <c r="F3" s="100" t="str">
        <f>IFERROR(__xludf.DUMMYFUNCTION("sparkline(
  E3 - choose(match(E3, {0, L3:O3}), 0, L3, M3, N3, O3),
  {
    ""charttype"", ""bar"";
    ""max"", choose(match(E3, {0, L3:O3}), L3, M3-L3, N3-M3, O3-N3, 0);
    ""nan"", ""ignore"";
    ""color1"", iferror(choose(match(E3, {0, L3:O3}),
    "&amp;"  ""#ffd700"",
      ""#7900ff"",
      ""#ff2262"",
      ""#3d3d3d"",
      ""#aaaaaa""
    ))
  }
)
"),"")</f>
        <v/>
      </c>
      <c r="G3" s="122">
        <f>IFERROR(__xludf.DUMMYFUNCTION("trunc(min(importrange(""https://docs.google.com/spreadsheets/d/10ck-sXoSgAYeiVI9iaaWwSqxC7KoxNO-2AtO08C-eCw"", ""MaxEnergy!A1""), max(
choose(match(E3, {0, L3-(M3-L3), L3:O3}), 0, Intermediate!O$2, L$2, M$2, N$2, O$2)
 + (E3 - choose(match(E3, {0, L3-(M3-"&amp;"L3), L3:O3}), 0, L3-(M3-L3), L3, M3, N3, O3))
 / choose(match(E3, {0, L3-(M3-L3), L3:O3}), L3-(M3-L3), M3-L3, M3-L3, N3-M3, O3-N3, O3-N3)
 * choose(match(E3, {0, L3-(M3-L3), L3:O3}), Intermediate!O$2, L$2-Intermediate!O$2, M$2-L$2, N$2-M$2, O$2-N$2, O$2-N"&amp;"$2),
choose(match(E4, {0, L4-(M4-L4), L4:O4}), 0, Intermediate!O$2, L$2, M$2, N$2, O$2)
 + (E4 - choose(match(E4, {0, L4-(M4-L4), L4:O4}), 0, L4-(M4-L4), L4, M4, N4, O4))
 / choose(match(E4, {0, L4-(M4-L4), L4:O4}), L4-(M4-L4), M4-L4, M4-L4, N4-M4, O4-N4"&amp;", O4-N4)
 * choose(match(E4, {0, L4-(M4-L4), L4:O4}), Intermediate!O$2, L$2-Intermediate!O$2, M$2-L$2, N$2-M$2, O$2-N$2, O$2-N$2)
)))"),0.0)</f>
        <v>0</v>
      </c>
      <c r="H3" s="64"/>
      <c r="I3" s="61" t="str">
        <f>'Average Input'!D3</f>
        <v/>
      </c>
      <c r="J3" s="64" t="str">
        <f>IFERROR(__xludf.DUMMYFUNCTION("sparkline(
  I3 - choose(match(I3, {0, L3:O3}), 0, L3, M3, N3, O3),
  {
    ""charttype"", ""bar"";
    ""max"", choose(match(I3, {0, L3:O3}), L3, M3-L3, N3-M3, O3-N3, 0);
    ""nan"", ""ignore"";
    ""color1"", iferror(choose(match(I3, {0, L3:O3}),
    "&amp;"  ""#ffd700"",
      ""#7900ff"",
      ""#ff2262"",
      ""#3d3d3d"",
      ""#aaaaaa""
    ))
  }
)
"),"")</f>
        <v/>
      </c>
      <c r="K3" s="107">
        <f>IFERROR(__xludf.DUMMYFUNCTION("trunc(min(importrange(""https://docs.google.com/spreadsheets/d/10ck-sXoSgAYeiVI9iaaWwSqxC7KoxNO-2AtO08C-eCw"", ""MaxEnergy!A1""), max(
choose(match(I3, {0, L3-(M3-L3), L3:O3}), 0, Intermediate!O$2, L$2, M$2, N$2, O$2)
 + (I3 - choose(match(I3, {0, L3-(M3-"&amp;"L3), L3:O3}), 0, L3-(M3-L3), L3, M3, N3, O3))
 / choose(match(I3, {0, L3-(M3-L3), L3:O3}), L3-(M3-L3), M3-L3, M3-L3, N3-M3, O3-N3, O3-N3)
 * choose(match(I3, {0, L3-(M3-L3), L3:O3}), Intermediate!O$2, L$2-Intermediate!O$2, M$2-L$2, N$2-M$2, O$2-N$2, O$2-N"&amp;"$2),
choose(match(I4, {0, L4-(M4-L4), L4:O4}), 0, Intermediate!O$2, L$2, M$2, N$2, O$2)
 + (I4 - choose(match(I4, {0, L4-(M4-L4), L4:O4}), 0, L4-(M4-L4), L4, M4, N4, O4))
 / choose(match(I4, {0, L4-(M4-L4), L4:O4}), L4-(M4-L4), M4-L4, M4-L4, N4-M4, O4-N4"&amp;", O4-N4)
 * choose(match(I4, {0, L4-(M4-L4), L4:O4}), Intermediate!O$2, L$2-Intermediate!O$2, M$2-L$2, N$2-M$2, O$2-N$2, O$2-N$2)
)))"),0.0)</f>
        <v>0</v>
      </c>
      <c r="L3" s="123">
        <f>IFERROR(__xludf.DUMMYFUNCTION("""COMPUTED_VALUE"""),940.0)</f>
        <v>940</v>
      </c>
      <c r="M3" s="124">
        <f>IFERROR(__xludf.DUMMYFUNCTION("""COMPUTED_VALUE"""),1040.0)</f>
        <v>1040</v>
      </c>
      <c r="N3" s="125">
        <f>IFERROR(__xludf.DUMMYFUNCTION("""COMPUTED_VALUE"""),1120.0)</f>
        <v>1120</v>
      </c>
      <c r="O3" s="18">
        <f>IFERROR(__xludf.DUMMYFUNCTION("""COMPUTED_VALUE"""),1270.0)</f>
        <v>1270</v>
      </c>
      <c r="P3" s="69" t="s">
        <v>36</v>
      </c>
      <c r="Q3" s="104" t="s">
        <v>59</v>
      </c>
    </row>
    <row r="4" ht="22.5" customHeight="1">
      <c r="C4" s="60" t="str">
        <f>IFERROR(__xludf.DUMMYFUNCTION("""COMPUTED_VALUE""")," VT Bounceshot Advanced")</f>
        <v> VT Bounceshot Advanced</v>
      </c>
      <c r="D4" s="50"/>
      <c r="E4" s="61"/>
      <c r="F4" s="100" t="str">
        <f>IFERROR(__xludf.DUMMYFUNCTION("sparkline(
  E4 - choose(match(E4, {0, L4:O4}), 0, L4, M4, N4, O4),
  {
    ""charttype"", ""bar"";
    ""max"", choose(match(E4, {0, L4:O4}), L4, M4-L4, N4-M4, O4-N4, 0);
    ""nan"", ""ignore"";
    ""color1"", iferror(choose(match(E4, {0, L4:O4}),
    "&amp;"  ""#ffd700"",
      ""#7900ff"",
      ""#ff2262"",
      ""#3d3d3d"",
      ""#aaaaaa""
    ))
  }
)
"),"")</f>
        <v/>
      </c>
      <c r="H4" s="64"/>
      <c r="I4" s="61" t="str">
        <f>'Average Input'!D4</f>
        <v/>
      </c>
      <c r="J4" s="64" t="str">
        <f>IFERROR(__xludf.DUMMYFUNCTION("sparkline(
  I4 - choose(match(I4, {0, L4:O4}), 0, L4, M4, N4, O4),
  {
    ""charttype"", ""bar"";
    ""max"", choose(match(I4, {0, L4:O4}), L4, M4-L4, N4-M4, O4-N4, 0);
    ""nan"", ""ignore"";
    ""color1"", iferror(choose(match(I4, {0, L4:O4}),
    "&amp;"  ""#ffd700"",
      ""#7900ff"",
      ""#ff2262"",
      ""#3d3d3d"",
      ""#aaaaaa""
    ))
  }
)
"),"")</f>
        <v/>
      </c>
      <c r="L4" s="123">
        <f>IFERROR(__xludf.DUMMYFUNCTION("""COMPUTED_VALUE"""),800.0)</f>
        <v>800</v>
      </c>
      <c r="M4" s="126">
        <f>IFERROR(__xludf.DUMMYFUNCTION("""COMPUTED_VALUE"""),900.0)</f>
        <v>900</v>
      </c>
      <c r="N4" s="125">
        <f>IFERROR(__xludf.DUMMYFUNCTION("""COMPUTED_VALUE"""),1000.0)</f>
        <v>1000</v>
      </c>
      <c r="O4" s="18">
        <f>IFERROR(__xludf.DUMMYFUNCTION("""COMPUTED_VALUE"""),1150.0)</f>
        <v>1150</v>
      </c>
      <c r="Q4" s="106" t="s">
        <v>60</v>
      </c>
    </row>
    <row r="5" ht="22.5" customHeight="1">
      <c r="B5" s="70" t="s">
        <v>37</v>
      </c>
      <c r="C5" s="127" t="str">
        <f>IFERROR(__xludf.DUMMYFUNCTION("""COMPUTED_VALUE""")," VT 1w3ts Rasp Advanced")</f>
        <v> VT 1w3ts Rasp Advanced</v>
      </c>
      <c r="D5" s="50"/>
      <c r="E5" s="61"/>
      <c r="F5" s="100" t="str">
        <f>IFERROR(__xludf.DUMMYFUNCTION("sparkline(
  E5 - choose(match(E5, {0, L5:O5}), 0, L5, M5, N5, O5),
  {
    ""charttype"", ""bar"";
    ""max"", choose(match(E5, {0, L5:O5}), L5, M5-L5, N5-M5, O5-N5, 0);
    ""nan"", ""ignore"";
    ""color1"", iferror(choose(match(E5, {0, L5:O5}),
    "&amp;"  ""#ffd700"",
      ""#7900ff"",
      ""#ff2262"",
      ""#3d3d3d"",
      ""#aaaaaa""
    ))
  }
)
"),"")</f>
        <v/>
      </c>
      <c r="G5" s="122">
        <f>IFERROR(__xludf.DUMMYFUNCTION("trunc(min(importrange(""https://docs.google.com/spreadsheets/d/10ck-sXoSgAYeiVI9iaaWwSqxC7KoxNO-2AtO08C-eCw"", ""MaxEnergy!A1""), max(
choose(match(E5, {0, L5-(M5-L5), L5:O5}), 0, Intermediate!O$2, L$2, M$2, N$2, O$2)
 + (E5 - choose(match(E5, {0, L5-(M5-"&amp;"L5), L5:O5}), 0, L5-(M5-L5), L5, M5, N5, O5))
 / choose(match(E5, {0, L5-(M5-L5), L5:O5}), L5-(M5-L5), M5-L5, M5-L5, N5-M5, O5-N5, O5-N5)
 * choose(match(E5, {0, L5-(M5-L5), L5:O5}), Intermediate!O$2, L$2-Intermediate!O$2, M$2-L$2, N$2-M$2, O$2-N$2, O$2-N"&amp;"$2),
choose(match(E6, {0, L6-(M6-L6), L6:O6}), 0, Intermediate!O$2, L$2, M$2, N$2, O$2)
 + (E6 - choose(match(E6, {0, L6-(M6-L6), L6:O6}), 0, L6-(M6-L6), L6, M6, N6, O6))
 / choose(match(E6, {0, L6-(M6-L6), L6:O6}), L6-(M6-L6), M6-L6, M6-L6, N6-M6, O6-N6"&amp;", O6-N6)
 * choose(match(E6, {0, L6-(M6-L6), L6:O6}), Intermediate!O$2, L$2-Intermediate!O$2, M$2-L$2, N$2-M$2, O$2-N$2, O$2-N$2)
)))"),0.0)</f>
        <v>0</v>
      </c>
      <c r="H5" s="64"/>
      <c r="I5" s="61" t="str">
        <f>'Average Input'!D5</f>
        <v/>
      </c>
      <c r="J5" s="64" t="str">
        <f>IFERROR(__xludf.DUMMYFUNCTION("sparkline(
  I5 - choose(match(I5, {0, L5:O5}), 0, L5, M5, N5, O5),
  {
    ""charttype"", ""bar"";
    ""max"", choose(match(I5, {0, L5:O5}), L5, M5-L5, N5-M5, O5-N5, 0);
    ""nan"", ""ignore"";
    ""color1"", iferror(choose(match(I5, {0, L5:O5}),
    "&amp;"  ""#ffd700"",
      ""#7900ff"",
      ""#ff2262"",
      ""#3d3d3d"",
      ""#aaaaaa""
    ))
  }
)
"),"")</f>
        <v/>
      </c>
      <c r="K5" s="107">
        <f>IFERROR(__xludf.DUMMYFUNCTION("trunc(min(importrange(""https://docs.google.com/spreadsheets/d/10ck-sXoSgAYeiVI9iaaWwSqxC7KoxNO-2AtO08C-eCw"", ""MaxEnergy!A1""), max(
choose(match(I5, {0, L5-(M5-L5), L5:O5}), 0, Intermediate!O$2, L$2, M$2, N$2, O$2)
 + (I5 - choose(match(I5, {0, L5-(M5-"&amp;"L5), L5:O5}), 0, L5-(M5-L5), L5, M5, N5, O5))
 / choose(match(I5, {0, L5-(M5-L5), L5:O5}), L5-(M5-L5), M5-L5, M5-L5, N5-M5, O5-N5, O5-N5)
 * choose(match(I5, {0, L5-(M5-L5), L5:O5}), Intermediate!O$2, L$2-Intermediate!O$2, M$2-L$2, N$2-M$2, O$2-N$2, O$2-N"&amp;"$2),
choose(match(I6, {0, L6-(M6-L6), L6:O6}), 0, Intermediate!O$2, L$2, M$2, N$2, O$2)
 + (I6 - choose(match(I6, {0, L6-(M6-L6), L6:O6}), 0, L6-(M6-L6), L6, M6, N6, O6))
 / choose(match(I6, {0, L6-(M6-L6), L6:O6}), L6-(M6-L6), M6-L6, M6-L6, N6-M6, O6-N6"&amp;", O6-N6)
 * choose(match(I6, {0, L6-(M6-L6), L6:O6}), Intermediate!O$2, L$2-Intermediate!O$2, M$2-L$2, N$2-M$2, O$2-N$2, O$2-N$2)
)))"),0.0)</f>
        <v>0</v>
      </c>
      <c r="L5" s="123">
        <f>IFERROR(__xludf.DUMMYFUNCTION("""COMPUTED_VALUE"""),1280.0)</f>
        <v>1280</v>
      </c>
      <c r="M5" s="124">
        <f>IFERROR(__xludf.DUMMYFUNCTION("""COMPUTED_VALUE"""),1380.0)</f>
        <v>1380</v>
      </c>
      <c r="N5" s="125">
        <f>IFERROR(__xludf.DUMMYFUNCTION("""COMPUTED_VALUE"""),1460.0)</f>
        <v>1460</v>
      </c>
      <c r="O5" s="18">
        <f>IFERROR(__xludf.DUMMYFUNCTION("""COMPUTED_VALUE"""),1580.0)</f>
        <v>1580</v>
      </c>
      <c r="P5" s="69" t="s">
        <v>38</v>
      </c>
    </row>
    <row r="6" ht="22.5" customHeight="1">
      <c r="C6" s="71" t="str">
        <f>IFERROR(__xludf.DUMMYFUNCTION("""COMPUTED_VALUE""")," VT Multiclick 180 Advanced")</f>
        <v> VT Multiclick 180 Advanced</v>
      </c>
      <c r="D6" s="50"/>
      <c r="E6" s="61"/>
      <c r="F6" s="100" t="str">
        <f>IFERROR(__xludf.DUMMYFUNCTION("sparkline(
  E6 - choose(match(E6, {0, L6:O6}), 0, L6, M6, N6, O6),
  {
    ""charttype"", ""bar"";
    ""max"", choose(match(E6, {0, L6:O6}), L6, M6-L6, N6-M6, O6-N6, 0);
    ""nan"", ""ignore"";
    ""color1"", iferror(choose(match(E6, {0, L6:O6}),
    "&amp;"  ""#ffd700"",
      ""#7900ff"",
      ""#ff2262"",
      ""#3d3d3d"",
      ""#aaaaaa""
    ))
  }
)
"),"")</f>
        <v/>
      </c>
      <c r="H6" s="64"/>
      <c r="I6" s="61" t="str">
        <f>'Average Input'!D6</f>
        <v/>
      </c>
      <c r="J6" s="64" t="str">
        <f>IFERROR(__xludf.DUMMYFUNCTION("sparkline(
  I6 - choose(match(I6, {0, L6:O6}), 0, L6, M6, N6, O6),
  {
    ""charttype"", ""bar"";
    ""max"", choose(match(I6, {0, L6:O6}), L6, M6-L6, N6-M6, O6-N6, 0);
    ""nan"", ""ignore"";
    ""color1"", iferror(choose(match(I6, {0, L6:O6}),
    "&amp;"  ""#ffd700"",
      ""#7900ff"",
      ""#ff2262"",
      ""#3d3d3d"",
      ""#aaaaaa""
    ))
  }
)
"),"")</f>
        <v/>
      </c>
      <c r="L6" s="128">
        <f>IFERROR(__xludf.DUMMYFUNCTION("""COMPUTED_VALUE"""),1630.0)</f>
        <v>1630</v>
      </c>
      <c r="M6" s="126">
        <f>IFERROR(__xludf.DUMMYFUNCTION("""COMPUTED_VALUE"""),1770.0)</f>
        <v>1770</v>
      </c>
      <c r="N6" s="129">
        <f>IFERROR(__xludf.DUMMYFUNCTION("""COMPUTED_VALUE"""),1890.0)</f>
        <v>1890</v>
      </c>
      <c r="O6" s="18">
        <f>IFERROR(__xludf.DUMMYFUNCTION("""COMPUTED_VALUE"""),2000.0)</f>
        <v>2000</v>
      </c>
    </row>
    <row r="7" ht="22.5" customHeight="1">
      <c r="B7" s="112" t="s">
        <v>61</v>
      </c>
      <c r="C7" s="109" t="str">
        <f>IFERROR(__xludf.DUMMYFUNCTION("""COMPUTED_VALUE""")," VT AngleStrafe Advanced")</f>
        <v> VT AngleStrafe Advanced</v>
      </c>
      <c r="D7" s="50"/>
      <c r="E7" s="61"/>
      <c r="F7" s="100" t="str">
        <f>IFERROR(__xludf.DUMMYFUNCTION("sparkline(
  E7 - choose(match(E7, {0, L7:O7}), 0, L7, M7, N7, O7),
  {
    ""charttype"", ""bar"";
    ""max"", choose(match(E7, {0, L7:O7}), L7, M7-L7, N7-M7, O7-N7, 0);
    ""nan"", ""ignore"";
    ""color1"", iferror(choose(match(E7, {0, L7:O7}),
    "&amp;"  ""#ffd700"",
      ""#7900ff"",
      ""#ff2262"",
      ""#3d3d3d"",
      ""#aaaaaa""
    ))
  }
)
"),"")</f>
        <v/>
      </c>
      <c r="G7" s="130"/>
      <c r="H7" s="64"/>
      <c r="I7" s="61" t="str">
        <f>'Average Input'!D7</f>
        <v/>
      </c>
      <c r="J7" s="64" t="str">
        <f>IFERROR(__xludf.DUMMYFUNCTION("sparkline(
  I7 - choose(match(I7, {0, L7:O7}), 0, L7, M7, N7, O7),
  {
    ""charttype"", ""bar"";
    ""max"", choose(match(I7, {0, L7:O7}), L7, M7-L7, N7-M7, O7-N7, 0);
    ""nan"", ""ignore"";
    ""color1"", iferror(choose(match(I7, {0, L7:O7}),
    "&amp;"  ""#ffd700"",
      ""#7900ff"",
      ""#ff2262"",
      ""#3d3d3d"",
      ""#aaaaaa""
    ))
  }
)
"),"")</f>
        <v/>
      </c>
      <c r="K7" s="131"/>
      <c r="L7" s="132">
        <f>IFERROR(__xludf.DUMMYFUNCTION("""COMPUTED_VALUE"""),880.0)</f>
        <v>880</v>
      </c>
      <c r="M7" s="124">
        <f>IFERROR(__xludf.DUMMYFUNCTION("""COMPUTED_VALUE"""),1020.0)</f>
        <v>1020</v>
      </c>
      <c r="N7" s="125">
        <f>IFERROR(__xludf.DUMMYFUNCTION("""COMPUTED_VALUE"""),1150.0)</f>
        <v>1150</v>
      </c>
      <c r="O7" s="18">
        <f>IFERROR(__xludf.DUMMYFUNCTION("""COMPUTED_VALUE"""),1230.0)</f>
        <v>1230</v>
      </c>
      <c r="P7" s="69" t="s">
        <v>62</v>
      </c>
    </row>
    <row r="8" ht="22.5" customHeight="1">
      <c r="C8" s="109" t="str">
        <f>IFERROR(__xludf.DUMMYFUNCTION("""COMPUTED_VALUE""")," VT ArcStrafe Advanced")</f>
        <v> VT ArcStrafe Advanced</v>
      </c>
      <c r="D8" s="50"/>
      <c r="E8" s="61"/>
      <c r="F8" s="100" t="str">
        <f>IFERROR(__xludf.DUMMYFUNCTION("sparkline(
  E8 - choose(match(E8, {0, L8:O8}), 0, L8, M8, N8, O8),
  {
    ""charttype"", ""bar"";
    ""max"", choose(match(E8, {0, L8:O8}), L8, M8-L8, N8-M8, O8-N8, 0);
    ""nan"", ""ignore"";
    ""color1"", iferror(choose(match(E8, {0, L8:O8}),
    "&amp;"  ""#ffd700"",
      ""#7900ff"",
      ""#ff2262"",
      ""#3d3d3d"",
      ""#aaaaaa""
    ))
  }
)
"),"")</f>
        <v/>
      </c>
      <c r="H8" s="64"/>
      <c r="I8" s="61" t="str">
        <f>'Average Input'!D8</f>
        <v/>
      </c>
      <c r="J8" s="64" t="str">
        <f>IFERROR(__xludf.DUMMYFUNCTION("sparkline(
  I8 - choose(match(I8, {0, L8:O8}), 0, L8, M8, N8, O8),
  {
    ""charttype"", ""bar"";
    ""max"", choose(match(I8, {0, L8:O8}), L8, M8-L8, N8-M8, O8-N8, 0);
    ""nan"", ""ignore"";
    ""color1"", iferror(choose(match(I8, {0, L8:O8}),
    "&amp;"  ""#ffd700"",
      ""#7900ff"",
      ""#ff2262"",
      ""#3d3d3d"",
      ""#aaaaaa""
    ))
  }
)
"),"")</f>
        <v/>
      </c>
      <c r="L8" s="132">
        <f>IFERROR(__xludf.DUMMYFUNCTION("""COMPUTED_VALUE"""),940.0)</f>
        <v>940</v>
      </c>
      <c r="M8" s="124">
        <f>IFERROR(__xludf.DUMMYFUNCTION("""COMPUTED_VALUE"""),1080.0)</f>
        <v>1080</v>
      </c>
      <c r="N8" s="125">
        <f>IFERROR(__xludf.DUMMYFUNCTION("""COMPUTED_VALUE"""),1150.0)</f>
        <v>1150</v>
      </c>
      <c r="O8" s="18">
        <f>IFERROR(__xludf.DUMMYFUNCTION("""COMPUTED_VALUE"""),1230.0)</f>
        <v>1230</v>
      </c>
    </row>
    <row r="9" ht="22.5" customHeight="1">
      <c r="A9" s="73" t="s">
        <v>39</v>
      </c>
      <c r="B9" s="74" t="s">
        <v>40</v>
      </c>
      <c r="C9" s="75" t="str">
        <f>IFERROR(__xludf.DUMMYFUNCTION("""COMPUTED_VALUE""")," VT Smoothbot Advanced")</f>
        <v> VT Smoothbot Advanced</v>
      </c>
      <c r="D9" s="50"/>
      <c r="E9" s="61"/>
      <c r="F9" s="100" t="str">
        <f>IFERROR(__xludf.DUMMYFUNCTION("sparkline(
  E9 - choose(match(E9, {0, L9:O9}), 0, L9, M9, N9, O9),
  {
    ""charttype"", ""bar"";
    ""max"", choose(match(E9, {0, L9:O9}), L9, M9-L9, N9-M9, O9-N9, 0);
    ""nan"", ""ignore"";
    ""color1"", iferror(choose(match(E9, {0, L9:O9}),
    "&amp;"  ""#ffd700"",
      ""#7900ff"",
      ""#ff2262"",
      ""#3d3d3d"",
      ""#aaaaaa""
    ))
  }
)
"),"")</f>
        <v/>
      </c>
      <c r="G9" s="122">
        <f>IFERROR(__xludf.DUMMYFUNCTION("trunc(min(importrange(""https://docs.google.com/spreadsheets/d/10ck-sXoSgAYeiVI9iaaWwSqxC7KoxNO-2AtO08C-eCw"", ""MaxEnergy!A1""), max(
choose(match(E9, {0, L9-(M9-L9), L9:O9}), 0, Intermediate!O$2, L$2, M$2, N$2, O$2)
 + (E9 - choose(match(E9, {0, L9-(M9-"&amp;"L9), L9:O9}), 0, L9-(M9-L9), L9, M9, N9, O9))
 / choose(match(E9, {0, L9-(M9-L9), L9:O9}), L9-(M9-L9), M9-L9, M9-L9, N9-M9, O9-N9, O9-N9)
 * choose(match(E9, {0, L9-(M9-L9), L9:O9}), Intermediate!O$2, L$2-Intermediate!O$2, M$2-L$2, N$2-M$2, O$2-N$2, O$2-N"&amp;"$2),
choose(match(E10, {0, L10-(M10-L10), L10:O10}), 0, Intermediate!O$2, L$2, M$2, N$2, O$2)
 + (E10 - choose(match(E10, {0, L10-(M10-L10), L10:O10}), 0, L10-(M10-L10), L10, M10, N10, O10))
 / choose(match(E10, {0, L10-(M10-L10), L10:O10}), L10-(M10-L10"&amp;"), M10-L10, M10-L10, N10-M10, O10-N10, O10-N10)
 * choose(match(E10, {0, L10-(M10-L10), L10:O10}), Intermediate!O$2, L$2-Intermediate!O$2, M$2-L$2, N$2-M$2, O$2-N$2, O$2-N$2)
)))"),0.0)</f>
        <v>0</v>
      </c>
      <c r="H9" s="64"/>
      <c r="I9" s="61" t="str">
        <f>'Average Input'!D9</f>
        <v/>
      </c>
      <c r="J9" s="64" t="str">
        <f>IFERROR(__xludf.DUMMYFUNCTION("sparkline(
  I9 - choose(match(I9, {0, L9:O9}), 0, L9, M9, N9, O9),
  {
    ""charttype"", ""bar"";
    ""max"", choose(match(I9, {0, L9:O9}), L9, M9-L9, N9-M9, O9-N9, 0);
    ""nan"", ""ignore"";
    ""color1"", iferror(choose(match(I9, {0, L9:O9}),
    "&amp;"  ""#ffd700"",
      ""#7900ff"",
      ""#ff2262"",
      ""#3d3d3d"",
      ""#aaaaaa""
    ))
  }
)
"),"")</f>
        <v/>
      </c>
      <c r="K9" s="107">
        <f>IFERROR(__xludf.DUMMYFUNCTION("trunc(min(importrange(""https://docs.google.com/spreadsheets/d/10ck-sXoSgAYeiVI9iaaWwSqxC7KoxNO-2AtO08C-eCw"", ""MaxEnergy!A1""), max(
choose(match(I9, {0, L9-(M9-L9), L9:O9}), 0, Intermediate!O$2, L$2, M$2, N$2, O$2)
 + (I9 - choose(match(I9, {0, L9-(M9-"&amp;"L9), L9:O9}), 0, L9-(M9-L9), L9, M9, N9, O9))
 / choose(match(I9, {0, L9-(M9-L9), L9:O9}), L9-(M9-L9), M9-L9, M9-L9, N9-M9, O9-N9, O9-N9)
 * choose(match(I9, {0, L9-(M9-L9), L9:O9}), Intermediate!O$2, L$2-Intermediate!O$2, M$2-L$2, N$2-M$2, O$2-N$2, O$2-N"&amp;"$2),
choose(match(I10, {0, L10-(M10-L10), L10:O10}), 0, Intermediate!O$2, L$2, M$2, N$2, O$2)
 + (I10 - choose(match(I10, {0, L10-(M10-L10), L10:O10}), 0, L10-(M10-L10), L10, M10, N10, O10))
 / choose(match(I10, {0, L10-(M10-L10), L10:O10}), L10-(M10-L10"&amp;"), M10-L10, M10-L10, N10-M10, O10-N10, O10-N10)
 * choose(match(I10, {0, L10-(M10-L10), L10:O10}), Intermediate!O$2, L$2-Intermediate!O$2, M$2-L$2, N$2-M$2, O$2-N$2, O$2-N$2)
)))"),0.0)</f>
        <v>0</v>
      </c>
      <c r="L9" s="133">
        <f>IFERROR(__xludf.DUMMYFUNCTION("""COMPUTED_VALUE"""),3300.0)</f>
        <v>3300</v>
      </c>
      <c r="M9" s="126">
        <f>IFERROR(__xludf.DUMMYFUNCTION("""COMPUTED_VALUE"""),3600.0)</f>
        <v>3600</v>
      </c>
      <c r="N9" s="129">
        <f>IFERROR(__xludf.DUMMYFUNCTION("""COMPUTED_VALUE"""),3950.0)</f>
        <v>3950</v>
      </c>
      <c r="O9" s="18">
        <f>IFERROR(__xludf.DUMMYFUNCTION("""COMPUTED_VALUE"""),4300.0)</f>
        <v>4300</v>
      </c>
      <c r="P9" s="69" t="s">
        <v>41</v>
      </c>
    </row>
    <row r="10" ht="22.5" customHeight="1">
      <c r="C10" s="75" t="str">
        <f>IFERROR(__xludf.DUMMYFUNCTION("""COMPUTED_VALUE""")," VT PreciseOrb Advanced")</f>
        <v> VT PreciseOrb Advanced</v>
      </c>
      <c r="D10" s="50"/>
      <c r="E10" s="61"/>
      <c r="F10" s="100" t="str">
        <f>IFERROR(__xludf.DUMMYFUNCTION("sparkline(
  E10 - choose(match(E10, {0, L10:O10}), 0, L10, M10, N10, O10),
  {
    ""charttype"", ""bar"";
    ""max"", choose(match(E10, {0, L10:O10}), L10, M10-L10, N10-M10, O10-N10, 0);
    ""nan"", ""ignore"";
    ""color1"", iferror(choose(match(E10"&amp;", {0, L10:O10}),
      ""#ffd700"",
      ""#7900ff"",
      ""#ff2262"",
      ""#3d3d3d"",
      ""#aaaaaa""
    ))
  }
)
"),"")</f>
        <v/>
      </c>
      <c r="H10" s="64"/>
      <c r="I10" s="61" t="str">
        <f>'Average Input'!D10</f>
        <v/>
      </c>
      <c r="J10" s="64" t="str">
        <f>IFERROR(__xludf.DUMMYFUNCTION("sparkline(
  I10 - choose(match(I10, {0, L10:O10}), 0, L10, M10, N10, O10),
  {
    ""charttype"", ""bar"";
    ""max"", choose(match(I10, {0, L10:O10}), L10, M10-L10, N10-M10, O10-N10, 0);
    ""nan"", ""ignore"";
    ""color1"", iferror(choose(match(I10"&amp;", {0, L10:O10}),
      ""#ffd700"",
      ""#7900ff"",
      ""#ff2262"",
      ""#3d3d3d"",
      ""#aaaaaa""
    ))
  }
)
"),"")</f>
        <v/>
      </c>
      <c r="L10" s="133">
        <f>IFERROR(__xludf.DUMMYFUNCTION("""COMPUTED_VALUE"""),2500.0)</f>
        <v>2500</v>
      </c>
      <c r="M10" s="126">
        <f>IFERROR(__xludf.DUMMYFUNCTION("""COMPUTED_VALUE"""),2850.0)</f>
        <v>2850</v>
      </c>
      <c r="N10" s="129">
        <f>IFERROR(__xludf.DUMMYFUNCTION("""COMPUTED_VALUE"""),3250.0)</f>
        <v>3250</v>
      </c>
      <c r="O10" s="18">
        <f>IFERROR(__xludf.DUMMYFUNCTION("""COMPUTED_VALUE"""),3650.0)</f>
        <v>3650</v>
      </c>
    </row>
    <row r="11" ht="22.5" customHeight="1">
      <c r="B11" s="76" t="s">
        <v>42</v>
      </c>
      <c r="C11" s="77" t="str">
        <f>IFERROR(__xludf.DUMMYFUNCTION("""COMPUTED_VALUE""")," VT Plaza Advanced")</f>
        <v> VT Plaza Advanced</v>
      </c>
      <c r="D11" s="50"/>
      <c r="E11" s="61"/>
      <c r="F11" s="100" t="str">
        <f>IFERROR(__xludf.DUMMYFUNCTION("sparkline(
  E11 - choose(match(E11, {0, L11:O11}), 0, L11, M11, N11, O11),
  {
    ""charttype"", ""bar"";
    ""max"", choose(match(E11, {0, L11:O11}), L11, M11-L11, N11-M11, O11-N11, 0);
    ""nan"", ""ignore"";
    ""color1"", iferror(choose(match(E11"&amp;", {0, L11:O11}),
      ""#ffd700"",
      ""#7900ff"",
      ""#ff2262"",
      ""#3d3d3d"",
      ""#aaaaaa""
    ))
  }
)
"),"")</f>
        <v/>
      </c>
      <c r="G11" s="122">
        <f>IFERROR(__xludf.DUMMYFUNCTION("trunc(min(importrange(""https://docs.google.com/spreadsheets/d/10ck-sXoSgAYeiVI9iaaWwSqxC7KoxNO-2AtO08C-eCw"", ""MaxEnergy!A1""), max(
choose(match(E11, {0, L11-(M11-L11), L11:O11}), 0, Intermediate!O$2, L$2, M$2, N$2, O$2)
 + (E11 - choose(match(E11, {0,"&amp;" L11-(M11-L11), L11:O11}), 0, L11-(M11-L11), L11, M11, N11, O11))
 / choose(match(E11, {0, L11-(M11-L11), L11:O11}), L11-(M11-L11), M11-L11, M11-L11, N11-M11, O11-N11, O11-N11)
 * choose(match(E11, {0, L11-(M11-L11), L11:O11}), Intermediate!O$2, L$2-Inter"&amp;"mediate!O$2, M$2-L$2, N$2-M$2, O$2-N$2, O$2-N$2),
choose(match(E12, {0, L12-(M12-L12), L12:O12}), 0, Intermediate!O$2, L$2, M$2, N$2, O$2)
 + (E12 - choose(match(E12, {0, L12-(M12-L12), L12:O12}), 0, L12-(M12-L12), L12, M12, N12, O12))
 / choose(match(E1"&amp;"2, {0, L12-(M12-L12), L12:O12}), L12-(M12-L12), M12-L12, M12-L12, N12-M12, O12-N12, O12-N12)
 * choose(match(E12, {0, L12-(M12-L12), L12:O12}), Intermediate!O$2, L$2-Intermediate!O$2, M$2-L$2, N$2-M$2, O$2-N$2, O$2-N$2)
)))"),0.0)</f>
        <v>0</v>
      </c>
      <c r="H11" s="64"/>
      <c r="I11" s="61" t="str">
        <f>'Average Input'!D11</f>
        <v/>
      </c>
      <c r="J11" s="64" t="str">
        <f>IFERROR(__xludf.DUMMYFUNCTION("sparkline(
  I11 - choose(match(I11, {0, L11:O11}), 0, L11, M11, N11, O11),
  {
    ""charttype"", ""bar"";
    ""max"", choose(match(I11, {0, L11:O11}), L11, M11-L11, N11-M11, O11-N11, 0);
    ""nan"", ""ignore"";
    ""color1"", iferror(choose(match(I11"&amp;", {0, L11:O11}),
      ""#ffd700"",
      ""#7900ff"",
      ""#ff2262"",
      ""#3d3d3d"",
      ""#aaaaaa""
    ))
  }
)
"),"")</f>
        <v/>
      </c>
      <c r="K11" s="107">
        <f>IFERROR(__xludf.DUMMYFUNCTION("trunc(min(importrange(""https://docs.google.com/spreadsheets/d/10ck-sXoSgAYeiVI9iaaWwSqxC7KoxNO-2AtO08C-eCw"", ""MaxEnergy!A1""), max(
choose(match(I11, {0, L11-(M11-L11), L11:O11}), 0, Intermediate!O$2, L$2, M$2, N$2, O$2)
 + (I11 - choose(match(I11, {0,"&amp;" L11-(M11-L11), L11:O11}), 0, L11-(M11-L11), L11, M11, N11, O11))
 / choose(match(I11, {0, L11-(M11-L11), L11:O11}), L11-(M11-L11), M11-L11, M11-L11, N11-M11, O11-N11, O11-N11)
 * choose(match(I11, {0, L11-(M11-L11), L11:O11}), Intermediate!O$2, L$2-Inter"&amp;"mediate!O$2, M$2-L$2, N$2-M$2, O$2-N$2, O$2-N$2),
choose(match(I12, {0, L12-(M12-L12), L12:O12}), 0, Intermediate!O$2, L$2, M$2, N$2, O$2)
 + (I12 - choose(match(I12, {0, L12-(M12-L12), L12:O12}), 0, L12-(M12-L12), L12, M12, N12, O12))
 / choose(match(I1"&amp;"2, {0, L12-(M12-L12), L12:O12}), L12-(M12-L12), M12-L12, M12-L12, N12-M12, O12-N12, O12-N12)
 * choose(match(I12, {0, L12-(M12-L12), L12:O12}), Intermediate!O$2, L$2-Intermediate!O$2, M$2-L$2, N$2-M$2, O$2-N$2, O$2-N$2)
)))"),0.0)</f>
        <v>0</v>
      </c>
      <c r="L11" s="133">
        <f>IFERROR(__xludf.DUMMYFUNCTION("""COMPUTED_VALUE"""),3275.0)</f>
        <v>3275</v>
      </c>
      <c r="M11" s="126">
        <f>IFERROR(__xludf.DUMMYFUNCTION("""COMPUTED_VALUE"""),3475.0)</f>
        <v>3475</v>
      </c>
      <c r="N11" s="129">
        <f>IFERROR(__xludf.DUMMYFUNCTION("""COMPUTED_VALUE"""),3600.0)</f>
        <v>3600</v>
      </c>
      <c r="O11" s="18">
        <f>IFERROR(__xludf.DUMMYFUNCTION("""COMPUTED_VALUE"""),3800.0)</f>
        <v>3800</v>
      </c>
      <c r="P11" s="69" t="s">
        <v>63</v>
      </c>
    </row>
    <row r="12" ht="22.5" customHeight="1">
      <c r="C12" s="77" t="str">
        <f>IFERROR(__xludf.DUMMYFUNCTION("""COMPUTED_VALUE""")," VT Air Advanced")</f>
        <v> VT Air Advanced</v>
      </c>
      <c r="D12" s="50"/>
      <c r="E12" s="61"/>
      <c r="F12" s="100" t="str">
        <f>IFERROR(__xludf.DUMMYFUNCTION("sparkline(
  E12 - choose(match(E12, {0, L12:O12}), 0, L12, M12, N12, O12),
  {
    ""charttype"", ""bar"";
    ""max"", choose(match(E12, {0, L12:O12}), L12, M12-L12, N12-M12, O12-N12, 0);
    ""nan"", ""ignore"";
    ""color1"", iferror(choose(match(E12"&amp;", {0, L12:O12}),
      ""#ffd700"",
      ""#7900ff"",
      ""#ff2262"",
      ""#3d3d3d"",
      ""#aaaaaa""
    ))
  }
)
"),"")</f>
        <v/>
      </c>
      <c r="H12" s="64"/>
      <c r="I12" s="61" t="str">
        <f>'Average Input'!D12</f>
        <v/>
      </c>
      <c r="J12" s="64" t="str">
        <f>IFERROR(__xludf.DUMMYFUNCTION("sparkline(
  I12 - choose(match(I12, {0, L12:O12}), 0, L12, M12, N12, O12),
  {
    ""charttype"", ""bar"";
    ""max"", choose(match(I12, {0, L12:O12}), L12, M12-L12, N12-M12, O12-N12, 0);
    ""nan"", ""ignore"";
    ""color1"", iferror(choose(match(I12"&amp;", {0, L12:O12}),
      ""#ffd700"",
      ""#7900ff"",
      ""#ff2262"",
      ""#3d3d3d"",
      ""#aaaaaa""
    ))
  }
)
"),"")</f>
        <v/>
      </c>
      <c r="L12" s="133">
        <f>IFERROR(__xludf.DUMMYFUNCTION("""COMPUTED_VALUE"""),3000.0)</f>
        <v>3000</v>
      </c>
      <c r="M12" s="126">
        <f>IFERROR(__xludf.DUMMYFUNCTION("""COMPUTED_VALUE"""),3250.0)</f>
        <v>3250</v>
      </c>
      <c r="N12" s="129">
        <f>IFERROR(__xludf.DUMMYFUNCTION("""COMPUTED_VALUE"""),3500.0)</f>
        <v>3500</v>
      </c>
      <c r="O12" s="18">
        <f>IFERROR(__xludf.DUMMYFUNCTION("""COMPUTED_VALUE"""),3750.0)</f>
        <v>3750</v>
      </c>
      <c r="Q12" s="111" t="s">
        <v>64</v>
      </c>
    </row>
    <row r="13" ht="22.5" customHeight="1">
      <c r="B13" s="112" t="s">
        <v>61</v>
      </c>
      <c r="C13" s="109" t="str">
        <f>IFERROR(__xludf.DUMMYFUNCTION("""COMPUTED_VALUE""")," VT PatStrafe Advanced")</f>
        <v> VT PatStrafe Advanced</v>
      </c>
      <c r="D13" s="50"/>
      <c r="E13" s="61"/>
      <c r="F13" s="100" t="str">
        <f>IFERROR(__xludf.DUMMYFUNCTION("sparkline(
  E13 - choose(match(E13, {0, L13:O13}), 0, L13, M13, N13, O13),
  {
    ""charttype"", ""bar"";
    ""max"", choose(match(E13, {0, L13:O13}), L13, M13-L13, N13-M13, O13-N13, 0);
    ""nan"", ""ignore"";
    ""color1"", iferror(choose(match(E13"&amp;", {0, L13:O13}),
      ""#ffd700"",
      ""#7900ff"",
      ""#ff2262"",
      ""#3d3d3d"",
      ""#aaaaaa""
    ))
  }
)
"),"")</f>
        <v/>
      </c>
      <c r="G13" s="130"/>
      <c r="H13" s="64"/>
      <c r="I13" s="61" t="str">
        <f>'Average Input'!D13</f>
        <v/>
      </c>
      <c r="J13" s="64" t="str">
        <f>IFERROR(__xludf.DUMMYFUNCTION("sparkline(
  I13 - choose(match(I13, {0, L13:O13}), 0, L13, M13, N13, O13),
  {
    ""charttype"", ""bar"";
    ""max"", choose(match(I13, {0, L13:O13}), L13, M13-L13, N13-M13, O13-N13, 0);
    ""nan"", ""ignore"";
    ""color1"", iferror(choose(match(I13"&amp;", {0, L13:O13}),
      ""#ffd700"",
      ""#7900ff"",
      ""#ff2262"",
      ""#3d3d3d"",
      ""#aaaaaa""
    ))
  }
)
"),"")</f>
        <v/>
      </c>
      <c r="K13" s="131"/>
      <c r="L13" s="132">
        <f>IFERROR(__xludf.DUMMYFUNCTION("""COMPUTED_VALUE"""),3050.0)</f>
        <v>3050</v>
      </c>
      <c r="M13" s="124">
        <f>IFERROR(__xludf.DUMMYFUNCTION("""COMPUTED_VALUE"""),3240.0)</f>
        <v>3240</v>
      </c>
      <c r="N13" s="125">
        <f>IFERROR(__xludf.DUMMYFUNCTION("""COMPUTED_VALUE"""),3400.0)</f>
        <v>3400</v>
      </c>
      <c r="O13" s="18">
        <f>IFERROR(__xludf.DUMMYFUNCTION("""COMPUTED_VALUE"""),3500.0)</f>
        <v>3500</v>
      </c>
      <c r="P13" s="69" t="s">
        <v>62</v>
      </c>
      <c r="Q13" s="106" t="s">
        <v>65</v>
      </c>
    </row>
    <row r="14" ht="22.5" customHeight="1">
      <c r="C14" s="109" t="str">
        <f>IFERROR(__xludf.DUMMYFUNCTION("""COMPUTED_VALUE""")," VT AirStrafe Advanced")</f>
        <v> VT AirStrafe Advanced</v>
      </c>
      <c r="D14" s="50"/>
      <c r="E14" s="61"/>
      <c r="F14" s="100" t="str">
        <f>IFERROR(__xludf.DUMMYFUNCTION("sparkline(
  E14 - choose(match(E14, {0, L14:O14}), 0, L14, M14, N14, O14),
  {
    ""charttype"", ""bar"";
    ""max"", choose(match(E14, {0, L14:O14}), L14, M14-L14, N14-M14, O14-N14, 0);
    ""nan"", ""ignore"";
    ""color1"", iferror(choose(match(E14"&amp;", {0, L14:O14}),
      ""#ffd700"",
      ""#7900ff"",
      ""#ff2262"",
      ""#3d3d3d"",
      ""#aaaaaa""
    ))
  }
)
"),"")</f>
        <v/>
      </c>
      <c r="H14" s="64"/>
      <c r="I14" s="61" t="str">
        <f>'Average Input'!D14</f>
        <v/>
      </c>
      <c r="J14" s="64" t="str">
        <f>IFERROR(__xludf.DUMMYFUNCTION("sparkline(
  I14 - choose(match(I14, {0, L14:O14}), 0, L14, M14, N14, O14),
  {
    ""charttype"", ""bar"";
    ""max"", choose(match(I14, {0, L14:O14}), L14, M14-L14, N14-M14, O14-N14, 0);
    ""nan"", ""ignore"";
    ""color1"", iferror(choose(match(I14"&amp;", {0, L14:O14}),
      ""#ffd700"",
      ""#7900ff"",
      ""#ff2262"",
      ""#3d3d3d"",
      ""#aaaaaa""
    ))
  }
)
"),"")</f>
        <v/>
      </c>
      <c r="L14" s="132">
        <f>IFERROR(__xludf.DUMMYFUNCTION("""COMPUTED_VALUE"""),3400.0)</f>
        <v>3400</v>
      </c>
      <c r="M14" s="124">
        <f>IFERROR(__xludf.DUMMYFUNCTION("""COMPUTED_VALUE"""),3600.0)</f>
        <v>3600</v>
      </c>
      <c r="N14" s="125">
        <f>IFERROR(__xludf.DUMMYFUNCTION("""COMPUTED_VALUE"""),3700.0)</f>
        <v>3700</v>
      </c>
      <c r="O14" s="18">
        <f>IFERROR(__xludf.DUMMYFUNCTION("""COMPUTED_VALUE"""),3825.0)</f>
        <v>3825</v>
      </c>
    </row>
    <row r="15" ht="22.5" customHeight="1">
      <c r="A15" s="78" t="s">
        <v>44</v>
      </c>
      <c r="B15" s="79" t="s">
        <v>45</v>
      </c>
      <c r="C15" s="80" t="str">
        <f>IFERROR(__xludf.DUMMYFUNCTION("""COMPUTED_VALUE""")," VT psalmTS Advanced")</f>
        <v> VT psalmTS Advanced</v>
      </c>
      <c r="D15" s="50"/>
      <c r="E15" s="61"/>
      <c r="F15" s="100" t="str">
        <f>IFERROR(__xludf.DUMMYFUNCTION("sparkline(
  E15 - choose(match(E15, {0, L15:O15}), 0, L15, M15, N15, O15),
  {
    ""charttype"", ""bar"";
    ""max"", choose(match(E15, {0, L15:O15}), L15, M15-L15, N15-M15, O15-N15, 0);
    ""nan"", ""ignore"";
    ""color1"", iferror(choose(match(E15"&amp;", {0, L15:O15}),
      ""#ffd700"",
      ""#7900ff"",
      ""#ff2262"",
      ""#3d3d3d"",
      ""#aaaaaa""
    ))
  }
)
"),"")</f>
        <v/>
      </c>
      <c r="G15" s="122">
        <f>IFERROR(__xludf.DUMMYFUNCTION("trunc(min(importrange(""https://docs.google.com/spreadsheets/d/10ck-sXoSgAYeiVI9iaaWwSqxC7KoxNO-2AtO08C-eCw"", ""MaxEnergy!A1""), max(
choose(match(E15, {0, L15-(M15-L15), L15:O15}), 0, Intermediate!O$2, L$2, M$2, N$2, O$2)
 + (E15 - choose(match(E15, {0,"&amp;" L15-(M15-L15), L15:O15}), 0, L15-(M15-L15), L15, M15, N15, O15))
 / choose(match(E15, {0, L15-(M15-L15), L15:O15}), L15-(M15-L15), M15-L15, M15-L15, N15-M15, O15-N15, O15-N15)
 * choose(match(E15, {0, L15-(M15-L15), L15:O15}), Intermediate!O$2, L$2-Inter"&amp;"mediate!O$2, M$2-L$2, N$2-M$2, O$2-N$2, O$2-N$2),
choose(match(E16, {0, L16-(M16-L16), L16:O16}), 0, Intermediate!O$2, L$2, M$2, N$2, O$2)
 + (E16 - choose(match(E16, {0, L16-(M16-L16), L16:O16}), 0, L16-(M16-L16), L16, M16, N16, O16))
 / choose(match(E1"&amp;"6, {0, L16-(M16-L16), L16:O16}), L16-(M16-L16), M16-L16, M16-L16, N16-M16, O16-N16, O16-N16)
 * choose(match(E16, {0, L16-(M16-L16), L16:O16}), Intermediate!O$2, L$2-Intermediate!O$2, M$2-L$2, N$2-M$2, O$2-N$2, O$2-N$2)
)))"),0.0)</f>
        <v>0</v>
      </c>
      <c r="H15" s="64"/>
      <c r="I15" s="61" t="str">
        <f>'Average Input'!D15</f>
        <v/>
      </c>
      <c r="J15" s="64" t="str">
        <f>IFERROR(__xludf.DUMMYFUNCTION("sparkline(
  I15 - choose(match(I15, {0, L15:O15}), 0, L15, M15, N15, O15),
  {
    ""charttype"", ""bar"";
    ""max"", choose(match(I15, {0, L15:O15}), L15, M15-L15, N15-M15, O15-N15, 0);
    ""nan"", ""ignore"";
    ""color1"", iferror(choose(match(I15"&amp;", {0, L15:O15}),
      ""#ffd700"",
      ""#7900ff"",
      ""#ff2262"",
      ""#3d3d3d"",
      ""#aaaaaa""
    ))
  }
)
"),"")</f>
        <v/>
      </c>
      <c r="K15" s="107">
        <f>IFERROR(__xludf.DUMMYFUNCTION("trunc(min(importrange(""https://docs.google.com/spreadsheets/d/10ck-sXoSgAYeiVI9iaaWwSqxC7KoxNO-2AtO08C-eCw"", ""MaxEnergy!A1""), max(
choose(match(I15, {0, L15-(M15-L15), L15:O15}), 0, Intermediate!O$2, L$2, M$2, N$2, O$2)
 + (I15 - choose(match(I15, {0,"&amp;" L15-(M15-L15), L15:O15}), 0, L15-(M15-L15), L15, M15, N15, O15))
 / choose(match(I15, {0, L15-(M15-L15), L15:O15}), L15-(M15-L15), M15-L15, M15-L15, N15-M15, O15-N15, O15-N15)
 * choose(match(I15, {0, L15-(M15-L15), L15:O15}), Intermediate!O$2, L$2-Inter"&amp;"mediate!O$2, M$2-L$2, N$2-M$2, O$2-N$2, O$2-N$2),
choose(match(I16, {0, L16-(M16-L16), L16:O16}), 0, Intermediate!O$2, L$2, M$2, N$2, O$2)
 + (I16 - choose(match(I16, {0, L16-(M16-L16), L16:O16}), 0, L16-(M16-L16), L16, M16, N16, O16))
 / choose(match(I1"&amp;"6, {0, L16-(M16-L16), L16:O16}), L16-(M16-L16), M16-L16, M16-L16, N16-M16, O16-N16, O16-N16)
 * choose(match(I16, {0, L16-(M16-L16), L16:O16}), Intermediate!O$2, L$2-Intermediate!O$2, M$2-L$2, N$2-M$2, O$2-N$2, O$2-N$2)
)))"),0.0)</f>
        <v>0</v>
      </c>
      <c r="L15" s="132">
        <f>IFERROR(__xludf.DUMMYFUNCTION("""COMPUTED_VALUE"""),1080.0)</f>
        <v>1080</v>
      </c>
      <c r="M15" s="124">
        <f>IFERROR(__xludf.DUMMYFUNCTION("""COMPUTED_VALUE"""),1160.0)</f>
        <v>1160</v>
      </c>
      <c r="N15" s="125">
        <f>IFERROR(__xludf.DUMMYFUNCTION("""COMPUTED_VALUE"""),1200.0)</f>
        <v>1200</v>
      </c>
      <c r="O15" s="18">
        <f>IFERROR(__xludf.DUMMYFUNCTION("""COMPUTED_VALUE"""),1330.0)</f>
        <v>1330</v>
      </c>
      <c r="P15" s="69" t="s">
        <v>66</v>
      </c>
    </row>
    <row r="16" ht="22.5" customHeight="1">
      <c r="C16" s="80" t="str">
        <f>IFERROR(__xludf.DUMMYFUNCTION("""COMPUTED_VALUE""")," VT skyTS Advanced")</f>
        <v> VT skyTS Advanced</v>
      </c>
      <c r="D16" s="50"/>
      <c r="E16" s="61"/>
      <c r="F16" s="100" t="str">
        <f>IFERROR(__xludf.DUMMYFUNCTION("sparkline(
  E16 - choose(match(E16, {0, L16:O16}), 0, L16, M16, N16, O16),
  {
    ""charttype"", ""bar"";
    ""max"", choose(match(E16, {0, L16:O16}), L16, M16-L16, N16-M16, O16-N16, 0);
    ""nan"", ""ignore"";
    ""color1"", iferror(choose(match(E16"&amp;", {0, L16:O16}),
      ""#ffd700"",
      ""#7900ff"",
      ""#ff2262"",
      ""#3d3d3d"",
      ""#aaaaaa""
    ))
  }
)
"),"")</f>
        <v/>
      </c>
      <c r="H16" s="64"/>
      <c r="I16" s="61" t="str">
        <f>'Average Input'!D16</f>
        <v/>
      </c>
      <c r="J16" s="64" t="str">
        <f>IFERROR(__xludf.DUMMYFUNCTION("sparkline(
  I16 - choose(match(I16, {0, L16:O16}), 0, L16, M16, N16, O16),
  {
    ""charttype"", ""bar"";
    ""max"", choose(match(I16, {0, L16:O16}), L16, M16-L16, N16-M16, O16-N16, 0);
    ""nan"", ""ignore"";
    ""color1"", iferror(choose(match(I16"&amp;", {0, L16:O16}),
      ""#ffd700"",
      ""#7900ff"",
      ""#ff2262"",
      ""#3d3d3d"",
      ""#aaaaaa""
    ))
  }
)
"),"")</f>
        <v/>
      </c>
      <c r="L16" s="132">
        <f>IFERROR(__xludf.DUMMYFUNCTION("""COMPUTED_VALUE"""),1300.0)</f>
        <v>1300</v>
      </c>
      <c r="M16" s="124">
        <f>IFERROR(__xludf.DUMMYFUNCTION("""COMPUTED_VALUE"""),1430.0)</f>
        <v>1430</v>
      </c>
      <c r="N16" s="125">
        <f>IFERROR(__xludf.DUMMYFUNCTION("""COMPUTED_VALUE"""),1500.0)</f>
        <v>1500</v>
      </c>
      <c r="O16" s="18">
        <f>IFERROR(__xludf.DUMMYFUNCTION("""COMPUTED_VALUE"""),1600.0)</f>
        <v>1600</v>
      </c>
    </row>
    <row r="17" ht="22.5" customHeight="1">
      <c r="B17" s="116" t="s">
        <v>47</v>
      </c>
      <c r="C17" s="82" t="str">
        <f>IFERROR(__xludf.DUMMYFUNCTION("""COMPUTED_VALUE""")," VT evaTS Advanced")</f>
        <v> VT evaTS Advanced</v>
      </c>
      <c r="D17" s="50"/>
      <c r="E17" s="61"/>
      <c r="F17" s="100" t="str">
        <f>IFERROR(__xludf.DUMMYFUNCTION("sparkline(
  E17 - choose(match(E17, {0, L17:O17}), 0, L17, M17, N17, O17),
  {
    ""charttype"", ""bar"";
    ""max"", choose(match(E17, {0, L17:O17}), L17, M17-L17, N17-M17, O17-N17, 0);
    ""nan"", ""ignore"";
    ""color1"", iferror(choose(match(E17"&amp;", {0, L17:O17}),
      ""#ffd700"",
      ""#7900ff"",
      ""#ff2262"",
      ""#3d3d3d"",
      ""#aaaaaa""
    ))
  }
)
"),"")</f>
        <v/>
      </c>
      <c r="G17" s="122">
        <f>IFERROR(__xludf.DUMMYFUNCTION("trunc(min(importrange(""https://docs.google.com/spreadsheets/d/10ck-sXoSgAYeiVI9iaaWwSqxC7KoxNO-2AtO08C-eCw"", ""MaxEnergy!A1""), max(
choose(match(E17, {0, L17-(M17-L17), L17:O17}), 0, Intermediate!O$2, L$2, M$2, N$2, O$2)
 + (E17 - choose(match(E17, {0,"&amp;" L17-(M17-L17), L17:O17}), 0, L17-(M17-L17), L17, M17, N17, O17))
 / choose(match(E17, {0, L17-(M17-L17), L17:O17}), L17-(M17-L17), M17-L17, M17-L17, N17-M17, O17-N17, O17-N17)
 * choose(match(E17, {0, L17-(M17-L17), L17:O17}), Intermediate!O$2, L$2-Inter"&amp;"mediate!O$2, M$2-L$2, N$2-M$2, O$2-N$2, O$2-N$2),
choose(match(E18, {0, L18-(M18-L18), L18:O18}), 0, Intermediate!O$2, L$2, M$2, N$2, O$2)
 + (E18 - choose(match(E18, {0, L18-(M18-L18), L18:O18}), 0, L18-(M18-L18), L18, M18, N18, O18))
 / choose(match(E1"&amp;"8, {0, L18-(M18-L18), L18:O18}), L18-(M18-L18), M18-L18, M18-L18, N18-M18, O18-N18, O18-N18)
 * choose(match(E18, {0, L18-(M18-L18), L18:O18}), Intermediate!O$2, L$2-Intermediate!O$2, M$2-L$2, N$2-M$2, O$2-N$2, O$2-N$2)
)))"),0.0)</f>
        <v>0</v>
      </c>
      <c r="H17" s="64"/>
      <c r="I17" s="61" t="str">
        <f>'Average Input'!D17</f>
        <v/>
      </c>
      <c r="J17" s="64" t="str">
        <f>IFERROR(__xludf.DUMMYFUNCTION("sparkline(
  I17 - choose(match(I17, {0, L17:O17}), 0, L17, M17, N17, O17),
  {
    ""charttype"", ""bar"";
    ""max"", choose(match(I17, {0, L17:O17}), L17, M17-L17, N17-M17, O17-N17, 0);
    ""nan"", ""ignore"";
    ""color1"", iferror(choose(match(I17"&amp;", {0, L17:O17}),
      ""#ffd700"",
      ""#7900ff"",
      ""#ff2262"",
      ""#3d3d3d"",
      ""#aaaaaa""
    ))
  }
)
"),"")</f>
        <v/>
      </c>
      <c r="K17" s="107">
        <f>IFERROR(__xludf.DUMMYFUNCTION("trunc(min(importrange(""https://docs.google.com/spreadsheets/d/10ck-sXoSgAYeiVI9iaaWwSqxC7KoxNO-2AtO08C-eCw"", ""MaxEnergy!A1""), max(
choose(match(I17, {0, L17-(M17-L17), L17:O17}), 0, Intermediate!O$2, L$2, M$2, N$2, O$2)
 + (I17 - choose(match(I17, {0,"&amp;" L17-(M17-L17), L17:O17}), 0, L17-(M17-L17), L17, M17, N17, O17))
 / choose(match(I17, {0, L17-(M17-L17), L17:O17}), L17-(M17-L17), M17-L17, M17-L17, N17-M17, O17-N17, O17-N17)
 * choose(match(I17, {0, L17-(M17-L17), L17:O17}), Intermediate!O$2, L$2-Inter"&amp;"mediate!O$2, M$2-L$2, N$2-M$2, O$2-N$2, O$2-N$2),
choose(match(I18, {0, L18-(M18-L18), L18:O18}), 0, Intermediate!O$2, L$2, M$2, N$2, O$2)
 + (I18 - choose(match(I18, {0, L18-(M18-L18), L18:O18}), 0, L18-(M18-L18), L18, M18, N18, O18))
 / choose(match(I1"&amp;"8, {0, L18-(M18-L18), L18:O18}), L18-(M18-L18), M18-L18, M18-L18, N18-M18, O18-N18, O18-N18)
 * choose(match(I18, {0, L18-(M18-L18), L18:O18}), Intermediate!O$2, L$2-Intermediate!O$2, M$2-L$2, N$2-M$2, O$2-N$2, O$2-N$2)
)))"),0.0)</f>
        <v>0</v>
      </c>
      <c r="L17" s="123">
        <f>IFERROR(__xludf.DUMMYFUNCTION("""COMPUTED_VALUE"""),680.0)</f>
        <v>680</v>
      </c>
      <c r="M17" s="124">
        <f>IFERROR(__xludf.DUMMYFUNCTION("""COMPUTED_VALUE"""),740.0)</f>
        <v>740</v>
      </c>
      <c r="N17" s="125">
        <f>IFERROR(__xludf.DUMMYFUNCTION("""COMPUTED_VALUE"""),780.0)</f>
        <v>780</v>
      </c>
      <c r="O17" s="18">
        <f>IFERROR(__xludf.DUMMYFUNCTION("""COMPUTED_VALUE"""),830.0)</f>
        <v>830</v>
      </c>
      <c r="P17" s="69" t="s">
        <v>48</v>
      </c>
    </row>
    <row r="18" ht="22.5" customHeight="1">
      <c r="C18" s="82" t="str">
        <f>IFERROR(__xludf.DUMMYFUNCTION("""COMPUTED_VALUE""")," VT bounceTS Advanced")</f>
        <v> VT bounceTS Advanced</v>
      </c>
      <c r="D18" s="50"/>
      <c r="E18" s="61"/>
      <c r="F18" s="100" t="str">
        <f>IFERROR(__xludf.DUMMYFUNCTION("sparkline(
  E18 - choose(match(E18, {0, L18:O18}), 0, L18, M18, N18, O18),
  {
    ""charttype"", ""bar"";
    ""max"", choose(match(E18, {0, L18:O18}), L18, M18-L18, N18-M18, O18-N18, 0);
    ""nan"", ""ignore"";
    ""color1"", iferror(choose(match(E18"&amp;", {0, L18:O18}),
      ""#ffd700"",
      ""#7900ff"",
      ""#ff2262"",
      ""#3d3d3d"",
      ""#aaaaaa""
    ))
  }
)
"),"")</f>
        <v/>
      </c>
      <c r="H18" s="64"/>
      <c r="I18" s="94"/>
      <c r="J18" s="64" t="str">
        <f>IFERROR(__xludf.DUMMYFUNCTION("sparkline(
  I18 - choose(match(I18, {0, L18:O18}), 0, L18, M18, N18, O18),
  {
    ""charttype"", ""bar"";
    ""max"", choose(match(I18, {0, L18:O18}), L18, M18-L18, N18-M18, O18-N18, 0);
    ""nan"", ""ignore"";
    ""color1"", iferror(choose(match(I18"&amp;", {0, L18:O18}),
      ""#ffd700"",
      ""#7900ff"",
      ""#ff2262"",
      ""#3d3d3d"",
      ""#aaaaaa""
    ))
  }
)
"),"")</f>
        <v/>
      </c>
      <c r="L18" s="123">
        <f>IFERROR(__xludf.DUMMYFUNCTION("""COMPUTED_VALUE"""),820.0)</f>
        <v>820</v>
      </c>
      <c r="M18" s="124">
        <f>IFERROR(__xludf.DUMMYFUNCTION("""COMPUTED_VALUE"""),920.0)</f>
        <v>920</v>
      </c>
      <c r="N18" s="125">
        <f>IFERROR(__xludf.DUMMYFUNCTION("""COMPUTED_VALUE"""),970.0)</f>
        <v>970</v>
      </c>
      <c r="O18" s="18">
        <f>IFERROR(__xludf.DUMMYFUNCTION("""COMPUTED_VALUE"""),1050.0)</f>
        <v>1050</v>
      </c>
    </row>
    <row r="19" ht="22.5" customHeight="1">
      <c r="A19" s="86" t="s">
        <v>49</v>
      </c>
      <c r="F19" s="134" t="str">
        <f>IFERROR(__xludf.DUMMYFUNCTION("if(importrange(""https://docs.google.com/spreadsheets/d/1qUzF2KHcfs_FgsaDFRfGsLgHhoC1Md5bzMOUbsYzSjg"", ""Changelog!A2:A2"")=indirect(""Changelog!A2""), concatenate(""Sheet Version: "", Changelog!A2), hyperlink(""https://docs.google.com/spreadsheets/d/1qU"&amp;"zF2KHcfs_FgsaDFRfGsLgHhoC1Md5bzMOUbsYzSjg"", ""Outdated version, click link &amp; make a new copy!""))"),"Sheet Version: 1.2.9")</f>
        <v>Sheet Version: 1.2.9</v>
      </c>
      <c r="M19" s="45" t="str">
        <f>HYPERLINK("https://voltaic.gg/", "Website↗")</f>
        <v>Website↗</v>
      </c>
      <c r="N19" s="45" t="str">
        <f>HYPERLINK("http://discord.gg/voltaic","Discord↗")</f>
        <v>Discord↗</v>
      </c>
      <c r="O19" s="45" t="str">
        <f>HYPERLINK("http://twitter.com/voltaichq","Twitter↗")</f>
        <v>Twitter↗</v>
      </c>
      <c r="P19" s="88" t="s">
        <v>50</v>
      </c>
      <c r="Q19" s="118" t="s">
        <v>67</v>
      </c>
    </row>
    <row r="20" ht="22.5" customHeight="1">
      <c r="A20" s="135" t="s">
        <v>71</v>
      </c>
      <c r="P20" s="90" t="s">
        <v>52</v>
      </c>
    </row>
    <row r="21" ht="22.5" customHeight="1">
      <c r="A21" s="91" t="s">
        <v>72</v>
      </c>
      <c r="M21" s="45" t="str">
        <f>HYPERLINK("https://www.youtube.com/voltaichq","YouTube↗")</f>
        <v>YouTube↗</v>
      </c>
      <c r="N21" s="45" t="str">
        <f>HYPERLINK("https://bit.ly/VTxKvKsGuide","Guide↗")</f>
        <v>Guide↗</v>
      </c>
      <c r="O21" s="45" t="str">
        <f>HYPERLINK("https://docs.google.com/document/d/1omExq_y4ld9vkvbTFkLdjlT5UwQpvYSgyk5PgA7nrzM/edit?usp=sharing","Rules↗")</f>
        <v>Rules↗</v>
      </c>
      <c r="P21" s="90" t="s">
        <v>54</v>
      </c>
    </row>
    <row r="22" ht="22.5" customHeight="1">
      <c r="P22" s="92" t="s">
        <v>55</v>
      </c>
    </row>
  </sheetData>
  <mergeCells count="51">
    <mergeCell ref="A20:E20"/>
    <mergeCell ref="A21:L22"/>
    <mergeCell ref="M21:M22"/>
    <mergeCell ref="N21:N22"/>
    <mergeCell ref="O21:O22"/>
    <mergeCell ref="B15:B16"/>
    <mergeCell ref="B17:B18"/>
    <mergeCell ref="A19:E19"/>
    <mergeCell ref="F19:L20"/>
    <mergeCell ref="M19:M20"/>
    <mergeCell ref="N19:N20"/>
    <mergeCell ref="O19:O20"/>
    <mergeCell ref="G3:G4"/>
    <mergeCell ref="G5:G6"/>
    <mergeCell ref="G9:G10"/>
    <mergeCell ref="G11:G12"/>
    <mergeCell ref="G13:G14"/>
    <mergeCell ref="G15:G16"/>
    <mergeCell ref="G17:G18"/>
    <mergeCell ref="K5:K6"/>
    <mergeCell ref="K7:K8"/>
    <mergeCell ref="K9:K10"/>
    <mergeCell ref="K11:K12"/>
    <mergeCell ref="K13:K14"/>
    <mergeCell ref="K15:K16"/>
    <mergeCell ref="K17:K18"/>
    <mergeCell ref="A1:C1"/>
    <mergeCell ref="D1:F1"/>
    <mergeCell ref="H1:J1"/>
    <mergeCell ref="A3:A8"/>
    <mergeCell ref="B3:B4"/>
    <mergeCell ref="K3:K4"/>
    <mergeCell ref="G7:G8"/>
    <mergeCell ref="P13:P14"/>
    <mergeCell ref="P15:P16"/>
    <mergeCell ref="B5:B6"/>
    <mergeCell ref="B7:B8"/>
    <mergeCell ref="A9:A14"/>
    <mergeCell ref="B9:B10"/>
    <mergeCell ref="B11:B12"/>
    <mergeCell ref="B13:B14"/>
    <mergeCell ref="A15:A18"/>
    <mergeCell ref="Q13:Q18"/>
    <mergeCell ref="Q19:Q22"/>
    <mergeCell ref="P3:P4"/>
    <mergeCell ref="Q4:Q11"/>
    <mergeCell ref="P5:P6"/>
    <mergeCell ref="P7:P8"/>
    <mergeCell ref="P9:P10"/>
    <mergeCell ref="P11:P12"/>
    <mergeCell ref="P17:P18"/>
  </mergeCells>
  <conditionalFormatting sqref="D3:D18 H3:H18">
    <cfRule type="expression" dxfId="34" priority="1">
      <formula>ARRAYFORMULA(E3:E18&gt;=$O3:O18)</formula>
    </cfRule>
  </conditionalFormatting>
  <conditionalFormatting sqref="D3:D18 H3:H18">
    <cfRule type="expression" dxfId="35" priority="2">
      <formula>ARRAYFORMULA(E3:E18&gt;=$N3:N18)</formula>
    </cfRule>
  </conditionalFormatting>
  <conditionalFormatting sqref="D3:D18 H3:H18">
    <cfRule type="expression" dxfId="36" priority="3">
      <formula>ARRAYFORMULA(E3:E18&gt;=$M3:M18)</formula>
    </cfRule>
  </conditionalFormatting>
  <conditionalFormatting sqref="D3:D18 H3:H18">
    <cfRule type="expression" dxfId="37" priority="4">
      <formula>ARRAYFORMULA(E3:E18&gt;=$L3:L18)</formula>
    </cfRule>
  </conditionalFormatting>
  <conditionalFormatting sqref="D1 H1">
    <cfRule type="beginsWith" dxfId="38" priority="5" operator="beginsWith" text="Celestial">
      <formula>LEFT((D1),LEN("Celestial"))=("Celestial")</formula>
    </cfRule>
  </conditionalFormatting>
  <conditionalFormatting sqref="D1 H1">
    <cfRule type="beginsWith" dxfId="39" priority="6" operator="beginsWith" text="Astra">
      <formula>LEFT((D1),LEN("Astra"))=("Astra")</formula>
    </cfRule>
  </conditionalFormatting>
  <conditionalFormatting sqref="D1 H1">
    <cfRule type="beginsWith" dxfId="40" priority="7" operator="beginsWith" text="Nova">
      <formula>LEFT((D1),LEN("Nova"))=("Nova")</formula>
    </cfRule>
  </conditionalFormatting>
  <conditionalFormatting sqref="D1 H1">
    <cfRule type="beginsWith" dxfId="41" priority="8" operator="beginsWith" text="Grandmaster">
      <formula>LEFT((D1),LEN("Grandmaster"))=("Grandmaster")</formula>
    </cfRule>
  </conditionalFormatting>
  <conditionalFormatting sqref="D1 H1">
    <cfRule type="beginsWith" dxfId="17" priority="9" operator="beginsWith" text="Unranked">
      <formula>LEFT((D1),LEN("Unranked"))=("Unranked")</formula>
    </cfRule>
  </conditionalFormatting>
  <conditionalFormatting sqref="G3:G18 K3:K18">
    <cfRule type="expression" dxfId="42" priority="10">
      <formula>ARRAYFORMULA(G3:G18&gt;=$O$2)</formula>
    </cfRule>
  </conditionalFormatting>
  <conditionalFormatting sqref="G3:G18 K3:K18">
    <cfRule type="expression" dxfId="43" priority="11">
      <formula>ARRAYFORMULA(G3:G18&gt;=$N$2)</formula>
    </cfRule>
  </conditionalFormatting>
  <conditionalFormatting sqref="G3:G18 K3:K18">
    <cfRule type="expression" dxfId="44" priority="12">
      <formula>ARRAYFORMULA(G3:G18&gt;=$M$2)</formula>
    </cfRule>
  </conditionalFormatting>
  <conditionalFormatting sqref="G3:G18 K3:K18">
    <cfRule type="expression" dxfId="45" priority="13">
      <formula>ARRAYFORMULA(G3:G18&gt;=$L$2)</formula>
    </cfRule>
  </conditionalFormatting>
  <conditionalFormatting sqref="E3:E18 I3:I18">
    <cfRule type="expression" dxfId="46" priority="14">
      <formula>ARRAYFORMULA(E3:E18&gt;=$O3:O18)</formula>
    </cfRule>
  </conditionalFormatting>
  <conditionalFormatting sqref="E3:E18 I3:I18">
    <cfRule type="expression" dxfId="47" priority="15">
      <formula>ARRAYFORMULA(E3:E18&gt;=$N3:N18)</formula>
    </cfRule>
  </conditionalFormatting>
  <conditionalFormatting sqref="E3:E18 I3:I18">
    <cfRule type="expression" dxfId="48" priority="16">
      <formula>ARRAYFORMULA(E3:E18&gt;=$M3:M18)</formula>
    </cfRule>
  </conditionalFormatting>
  <conditionalFormatting sqref="E3:E18 I3:I18">
    <cfRule type="expression" dxfId="49" priority="17">
      <formula>ARRAYFORMULA(E3:E18&gt;=$L3:L18)</formula>
    </cfRule>
  </conditionalFormatting>
  <conditionalFormatting sqref="F19:L20">
    <cfRule type="containsText" dxfId="0" priority="18" operator="containsText" text="Outdated">
      <formula>NOT(ISERROR(SEARCH(("Outdated"),(F19))))</formula>
    </cfRule>
  </conditionalFormatting>
  <hyperlinks>
    <hyperlink r:id="rId2" ref="A21"/>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2" width="3.5"/>
    <col customWidth="1" min="3" max="3" width="21.5"/>
  </cols>
  <sheetData>
    <row r="1" ht="25.5" customHeight="1">
      <c r="A1" s="136" t="s">
        <v>73</v>
      </c>
    </row>
    <row r="2" ht="25.5" customHeight="1">
      <c r="A2" s="137" t="s">
        <v>74</v>
      </c>
      <c r="D2" s="27" t="s">
        <v>75</v>
      </c>
      <c r="E2" s="27" t="s">
        <v>76</v>
      </c>
      <c r="F2" s="27" t="s">
        <v>77</v>
      </c>
      <c r="G2" s="27" t="s">
        <v>78</v>
      </c>
      <c r="H2" s="27" t="s">
        <v>79</v>
      </c>
      <c r="I2" s="27" t="s">
        <v>80</v>
      </c>
      <c r="J2" s="27" t="s">
        <v>81</v>
      </c>
      <c r="K2" s="27" t="s">
        <v>82</v>
      </c>
      <c r="L2" s="27" t="s">
        <v>83</v>
      </c>
      <c r="M2" s="27" t="s">
        <v>84</v>
      </c>
      <c r="N2" s="27" t="s">
        <v>85</v>
      </c>
    </row>
    <row r="3" ht="25.5" customHeight="1">
      <c r="A3" s="138" t="s">
        <v>34</v>
      </c>
      <c r="B3" s="139" t="s">
        <v>35</v>
      </c>
      <c r="C3" s="140" t="str">
        <f>IFERROR(__xludf.DUMMYFUNCTION("importrange(""https://docs.google.com/spreadsheets/d/10ck-sXoSgAYeiVI9iaaWwSqxC7KoxNO-2AtO08C-eCw/"", ""Benchmarks!Q5:Q20"")")," VT Pasu Rasp Advanced")</f>
        <v> VT Pasu Rasp Advanced</v>
      </c>
      <c r="D3" s="141" t="str">
        <f t="shared" ref="D3:D18" si="1">IFERROR(AVERAGE(E3:N3), )</f>
        <v/>
      </c>
      <c r="E3" s="142"/>
      <c r="F3" s="142"/>
      <c r="G3" s="142"/>
      <c r="H3" s="142"/>
      <c r="I3" s="142"/>
      <c r="J3" s="142"/>
      <c r="K3" s="142"/>
      <c r="L3" s="142"/>
      <c r="M3" s="142"/>
      <c r="N3" s="142"/>
    </row>
    <row r="4" ht="25.5" customHeight="1">
      <c r="C4" s="140" t="str">
        <f>IFERROR(__xludf.DUMMYFUNCTION("""COMPUTED_VALUE""")," VT Bounceshot Advanced")</f>
        <v> VT Bounceshot Advanced</v>
      </c>
      <c r="D4" s="141" t="str">
        <f t="shared" si="1"/>
        <v/>
      </c>
      <c r="E4" s="142"/>
      <c r="F4" s="142"/>
      <c r="G4" s="142"/>
      <c r="H4" s="142"/>
      <c r="I4" s="142"/>
      <c r="J4" s="142"/>
      <c r="K4" s="142"/>
      <c r="L4" s="142"/>
      <c r="M4" s="142"/>
      <c r="N4" s="142"/>
    </row>
    <row r="5" ht="25.5" customHeight="1">
      <c r="B5" s="143" t="s">
        <v>37</v>
      </c>
      <c r="C5" s="144" t="str">
        <f>IFERROR(__xludf.DUMMYFUNCTION("""COMPUTED_VALUE""")," VT 1w3ts Rasp Advanced")</f>
        <v> VT 1w3ts Rasp Advanced</v>
      </c>
      <c r="D5" s="141" t="str">
        <f t="shared" si="1"/>
        <v/>
      </c>
      <c r="E5" s="142"/>
      <c r="F5" s="142"/>
      <c r="G5" s="142"/>
      <c r="H5" s="142"/>
      <c r="I5" s="142"/>
      <c r="J5" s="142"/>
      <c r="K5" s="142"/>
      <c r="L5" s="142"/>
      <c r="M5" s="142"/>
      <c r="N5" s="142"/>
    </row>
    <row r="6" ht="25.5" customHeight="1">
      <c r="C6" s="144" t="str">
        <f>IFERROR(__xludf.DUMMYFUNCTION("""COMPUTED_VALUE""")," VT Multiclick 180 Advanced")</f>
        <v> VT Multiclick 180 Advanced</v>
      </c>
      <c r="D6" s="141" t="str">
        <f t="shared" si="1"/>
        <v/>
      </c>
      <c r="E6" s="142"/>
      <c r="F6" s="142"/>
      <c r="G6" s="142"/>
      <c r="H6" s="142"/>
      <c r="I6" s="142"/>
      <c r="J6" s="142"/>
      <c r="K6" s="142"/>
      <c r="L6" s="142"/>
      <c r="M6" s="142"/>
      <c r="N6" s="142"/>
    </row>
    <row r="7" ht="25.5" customHeight="1">
      <c r="B7" s="145" t="s">
        <v>61</v>
      </c>
      <c r="C7" s="146" t="str">
        <f>IFERROR(__xludf.DUMMYFUNCTION("""COMPUTED_VALUE""")," VT AngleStrafe Advanced")</f>
        <v> VT AngleStrafe Advanced</v>
      </c>
      <c r="D7" s="141" t="str">
        <f t="shared" si="1"/>
        <v/>
      </c>
      <c r="E7" s="142"/>
      <c r="F7" s="142"/>
      <c r="G7" s="142"/>
      <c r="H7" s="142"/>
      <c r="I7" s="142"/>
      <c r="J7" s="142"/>
      <c r="K7" s="142"/>
      <c r="L7" s="142"/>
      <c r="M7" s="142"/>
      <c r="N7" s="142"/>
    </row>
    <row r="8" ht="25.5" customHeight="1">
      <c r="C8" s="146" t="str">
        <f>IFERROR(__xludf.DUMMYFUNCTION("""COMPUTED_VALUE""")," VT ArcStrafe Advanced")</f>
        <v> VT ArcStrafe Advanced</v>
      </c>
      <c r="D8" s="141" t="str">
        <f t="shared" si="1"/>
        <v/>
      </c>
      <c r="E8" s="142"/>
      <c r="F8" s="142"/>
      <c r="G8" s="142"/>
      <c r="H8" s="142"/>
      <c r="I8" s="142"/>
      <c r="J8" s="142"/>
      <c r="K8" s="142"/>
      <c r="L8" s="142"/>
      <c r="M8" s="142"/>
      <c r="N8" s="142"/>
    </row>
    <row r="9" ht="25.5" customHeight="1">
      <c r="A9" s="147" t="s">
        <v>39</v>
      </c>
      <c r="B9" s="148" t="s">
        <v>40</v>
      </c>
      <c r="C9" s="149" t="str">
        <f>IFERROR(__xludf.DUMMYFUNCTION("""COMPUTED_VALUE""")," VT Smoothbot Advanced")</f>
        <v> VT Smoothbot Advanced</v>
      </c>
      <c r="D9" s="141" t="str">
        <f t="shared" si="1"/>
        <v/>
      </c>
      <c r="E9" s="142"/>
      <c r="F9" s="142"/>
      <c r="G9" s="142"/>
      <c r="H9" s="142"/>
      <c r="I9" s="142"/>
      <c r="J9" s="142"/>
      <c r="K9" s="142"/>
      <c r="L9" s="142"/>
      <c r="M9" s="142"/>
      <c r="N9" s="142"/>
    </row>
    <row r="10" ht="25.5" customHeight="1">
      <c r="C10" s="149" t="str">
        <f>IFERROR(__xludf.DUMMYFUNCTION("""COMPUTED_VALUE""")," VT PreciseOrb Advanced")</f>
        <v> VT PreciseOrb Advanced</v>
      </c>
      <c r="D10" s="141" t="str">
        <f t="shared" si="1"/>
        <v/>
      </c>
      <c r="E10" s="142"/>
      <c r="F10" s="142"/>
      <c r="G10" s="142"/>
      <c r="H10" s="142"/>
      <c r="I10" s="142"/>
      <c r="J10" s="142"/>
      <c r="K10" s="142"/>
      <c r="L10" s="142"/>
      <c r="M10" s="142"/>
      <c r="N10" s="142"/>
    </row>
    <row r="11" ht="25.5" customHeight="1">
      <c r="B11" s="150" t="s">
        <v>42</v>
      </c>
      <c r="C11" s="151" t="str">
        <f>IFERROR(__xludf.DUMMYFUNCTION("""COMPUTED_VALUE""")," VT Plaza Advanced")</f>
        <v> VT Plaza Advanced</v>
      </c>
      <c r="D11" s="141" t="str">
        <f t="shared" si="1"/>
        <v/>
      </c>
      <c r="E11" s="142"/>
      <c r="F11" s="142"/>
      <c r="G11" s="142"/>
      <c r="H11" s="142"/>
      <c r="I11" s="142"/>
      <c r="J11" s="142"/>
      <c r="K11" s="142"/>
      <c r="L11" s="142"/>
      <c r="M11" s="142"/>
      <c r="N11" s="142"/>
    </row>
    <row r="12" ht="25.5" customHeight="1">
      <c r="C12" s="151" t="str">
        <f>IFERROR(__xludf.DUMMYFUNCTION("""COMPUTED_VALUE""")," VT Air Advanced")</f>
        <v> VT Air Advanced</v>
      </c>
      <c r="D12" s="141" t="str">
        <f t="shared" si="1"/>
        <v/>
      </c>
      <c r="E12" s="142"/>
      <c r="F12" s="142"/>
      <c r="G12" s="142"/>
      <c r="H12" s="142"/>
      <c r="I12" s="142"/>
      <c r="J12" s="142"/>
      <c r="K12" s="142"/>
      <c r="L12" s="142"/>
      <c r="M12" s="142"/>
      <c r="N12" s="142"/>
    </row>
    <row r="13" ht="25.5" customHeight="1">
      <c r="B13" s="145" t="s">
        <v>61</v>
      </c>
      <c r="C13" s="146" t="str">
        <f>IFERROR(__xludf.DUMMYFUNCTION("""COMPUTED_VALUE""")," VT PatStrafe Advanced")</f>
        <v> VT PatStrafe Advanced</v>
      </c>
      <c r="D13" s="141" t="str">
        <f t="shared" si="1"/>
        <v/>
      </c>
      <c r="E13" s="142"/>
      <c r="F13" s="142"/>
      <c r="G13" s="142"/>
      <c r="H13" s="142"/>
      <c r="I13" s="142"/>
      <c r="J13" s="142"/>
      <c r="K13" s="142"/>
      <c r="L13" s="142"/>
      <c r="M13" s="142"/>
      <c r="N13" s="142"/>
    </row>
    <row r="14" ht="25.5" customHeight="1">
      <c r="C14" s="146" t="str">
        <f>IFERROR(__xludf.DUMMYFUNCTION("""COMPUTED_VALUE""")," VT AirStrafe Advanced")</f>
        <v> VT AirStrafe Advanced</v>
      </c>
      <c r="D14" s="141" t="str">
        <f t="shared" si="1"/>
        <v/>
      </c>
      <c r="E14" s="142"/>
      <c r="F14" s="142"/>
      <c r="G14" s="142"/>
      <c r="H14" s="142"/>
      <c r="I14" s="142"/>
      <c r="J14" s="142"/>
      <c r="K14" s="142"/>
      <c r="L14" s="142"/>
      <c r="M14" s="142"/>
      <c r="N14" s="142"/>
    </row>
    <row r="15" ht="25.5" customHeight="1">
      <c r="A15" s="152" t="s">
        <v>44</v>
      </c>
      <c r="B15" s="153" t="s">
        <v>45</v>
      </c>
      <c r="C15" s="154" t="str">
        <f>IFERROR(__xludf.DUMMYFUNCTION("""COMPUTED_VALUE""")," VT psalmTS Advanced")</f>
        <v> VT psalmTS Advanced</v>
      </c>
      <c r="D15" s="141" t="str">
        <f t="shared" si="1"/>
        <v/>
      </c>
      <c r="E15" s="142"/>
      <c r="F15" s="142"/>
      <c r="G15" s="142"/>
      <c r="H15" s="142"/>
      <c r="I15" s="142"/>
      <c r="J15" s="142"/>
      <c r="K15" s="142"/>
      <c r="L15" s="142"/>
      <c r="M15" s="142"/>
      <c r="N15" s="142"/>
    </row>
    <row r="16" ht="25.5" customHeight="1">
      <c r="C16" s="154" t="str">
        <f>IFERROR(__xludf.DUMMYFUNCTION("""COMPUTED_VALUE""")," VT skyTS Advanced")</f>
        <v> VT skyTS Advanced</v>
      </c>
      <c r="D16" s="141" t="str">
        <f t="shared" si="1"/>
        <v/>
      </c>
      <c r="E16" s="142"/>
      <c r="F16" s="142"/>
      <c r="G16" s="142"/>
      <c r="H16" s="142"/>
      <c r="I16" s="142"/>
      <c r="J16" s="142"/>
      <c r="K16" s="142"/>
      <c r="L16" s="142"/>
      <c r="M16" s="142"/>
      <c r="N16" s="142"/>
    </row>
    <row r="17" ht="25.5" customHeight="1">
      <c r="B17" s="155" t="s">
        <v>47</v>
      </c>
      <c r="C17" s="156" t="str">
        <f>IFERROR(__xludf.DUMMYFUNCTION("""COMPUTED_VALUE""")," VT evaTS Advanced")</f>
        <v> VT evaTS Advanced</v>
      </c>
      <c r="D17" s="141" t="str">
        <f t="shared" si="1"/>
        <v/>
      </c>
      <c r="E17" s="142"/>
      <c r="F17" s="142"/>
      <c r="G17" s="142"/>
      <c r="H17" s="142"/>
      <c r="I17" s="142"/>
      <c r="J17" s="142"/>
      <c r="K17" s="142"/>
      <c r="L17" s="142"/>
      <c r="M17" s="142"/>
      <c r="N17" s="142"/>
    </row>
    <row r="18" ht="25.5" customHeight="1">
      <c r="C18" s="156" t="str">
        <f>IFERROR(__xludf.DUMMYFUNCTION("""COMPUTED_VALUE""")," VT bounceTS Advanced")</f>
        <v> VT bounceTS Advanced</v>
      </c>
      <c r="D18" s="141" t="str">
        <f t="shared" si="1"/>
        <v/>
      </c>
      <c r="E18" s="142"/>
      <c r="F18" s="142"/>
      <c r="G18" s="142"/>
      <c r="H18" s="142"/>
      <c r="I18" s="142"/>
      <c r="J18" s="142"/>
      <c r="K18" s="142"/>
      <c r="L18" s="142"/>
      <c r="M18" s="142"/>
      <c r="N18" s="142"/>
    </row>
    <row r="19" ht="25.5" customHeight="1">
      <c r="A19" s="136" t="s">
        <v>73</v>
      </c>
    </row>
    <row r="20" ht="24.0" customHeight="1">
      <c r="A20" s="157" t="s">
        <v>86</v>
      </c>
      <c r="D20" s="27" t="s">
        <v>75</v>
      </c>
      <c r="E20" s="27" t="s">
        <v>76</v>
      </c>
      <c r="F20" s="27" t="s">
        <v>77</v>
      </c>
      <c r="G20" s="27" t="s">
        <v>78</v>
      </c>
      <c r="H20" s="27" t="s">
        <v>79</v>
      </c>
      <c r="I20" s="27" t="s">
        <v>80</v>
      </c>
      <c r="J20" s="27" t="s">
        <v>81</v>
      </c>
      <c r="K20" s="27" t="s">
        <v>82</v>
      </c>
      <c r="L20" s="27" t="s">
        <v>83</v>
      </c>
      <c r="M20" s="27" t="s">
        <v>84</v>
      </c>
      <c r="N20" s="27" t="s">
        <v>85</v>
      </c>
    </row>
    <row r="21" ht="24.0" customHeight="1">
      <c r="A21" s="138" t="s">
        <v>34</v>
      </c>
      <c r="B21" s="139" t="s">
        <v>35</v>
      </c>
      <c r="C21" s="140" t="str">
        <f>IFERROR(__xludf.DUMMYFUNCTION("importrange(""https://docs.google.com/spreadsheets/d/10ck-sXoSgAYeiVI9iaaWwSqxC7KoxNO-2AtO08C-eCw/"", ""Benchmarks!J5:J20"")")," VT Pasu Rasp Intermediate")</f>
        <v> VT Pasu Rasp Intermediate</v>
      </c>
      <c r="D21" s="141" t="str">
        <f t="shared" ref="D21:D36" si="2">IFERROR(AVERAGE(E21:N21), )</f>
        <v/>
      </c>
      <c r="E21" s="142"/>
      <c r="F21" s="142"/>
      <c r="G21" s="142"/>
      <c r="H21" s="142"/>
      <c r="I21" s="142"/>
      <c r="J21" s="142"/>
      <c r="K21" s="142"/>
      <c r="L21" s="142"/>
      <c r="M21" s="142"/>
      <c r="N21" s="142"/>
    </row>
    <row r="22" ht="24.0" customHeight="1">
      <c r="C22" s="140" t="str">
        <f>IFERROR(__xludf.DUMMYFUNCTION("""COMPUTED_VALUE""")," VT Bounceshot Intermediate")</f>
        <v> VT Bounceshot Intermediate</v>
      </c>
      <c r="D22" s="141" t="str">
        <f t="shared" si="2"/>
        <v/>
      </c>
      <c r="E22" s="142"/>
      <c r="F22" s="142"/>
      <c r="G22" s="142"/>
      <c r="H22" s="142"/>
      <c r="I22" s="142"/>
      <c r="J22" s="142"/>
      <c r="K22" s="142"/>
      <c r="L22" s="142"/>
      <c r="M22" s="142"/>
      <c r="N22" s="142"/>
    </row>
    <row r="23" ht="24.0" customHeight="1">
      <c r="B23" s="143" t="s">
        <v>37</v>
      </c>
      <c r="C23" s="144" t="str">
        <f>IFERROR(__xludf.DUMMYFUNCTION("""COMPUTED_VALUE""")," VT 1w5ts Rasp Intermediate")</f>
        <v> VT 1w5ts Rasp Intermediate</v>
      </c>
      <c r="D23" s="141" t="str">
        <f t="shared" si="2"/>
        <v/>
      </c>
      <c r="E23" s="142"/>
      <c r="F23" s="142"/>
      <c r="G23" s="142"/>
      <c r="H23" s="142"/>
      <c r="I23" s="142"/>
      <c r="J23" s="142"/>
      <c r="K23" s="142"/>
      <c r="L23" s="142"/>
      <c r="M23" s="142"/>
      <c r="N23" s="142"/>
    </row>
    <row r="24" ht="24.0" customHeight="1">
      <c r="C24" s="144" t="str">
        <f>IFERROR(__xludf.DUMMYFUNCTION("""COMPUTED_VALUE""")," VT Multiclick 120 Intermediate")</f>
        <v> VT Multiclick 120 Intermediate</v>
      </c>
      <c r="D24" s="141" t="str">
        <f t="shared" si="2"/>
        <v/>
      </c>
      <c r="E24" s="142"/>
      <c r="F24" s="142"/>
      <c r="G24" s="142"/>
      <c r="H24" s="142"/>
      <c r="I24" s="142"/>
      <c r="J24" s="142"/>
      <c r="K24" s="142"/>
      <c r="L24" s="142"/>
      <c r="M24" s="142"/>
      <c r="N24" s="142"/>
    </row>
    <row r="25" ht="24.0" customHeight="1">
      <c r="B25" s="145" t="s">
        <v>61</v>
      </c>
      <c r="C25" s="146" t="str">
        <f>IFERROR(__xludf.DUMMYFUNCTION("""COMPUTED_VALUE""")," VT AngleStrafe Intermediate")</f>
        <v> VT AngleStrafe Intermediate</v>
      </c>
      <c r="D25" s="141" t="str">
        <f t="shared" si="2"/>
        <v/>
      </c>
      <c r="E25" s="142"/>
      <c r="F25" s="142"/>
      <c r="G25" s="142"/>
      <c r="H25" s="142"/>
      <c r="I25" s="142"/>
      <c r="J25" s="142"/>
      <c r="K25" s="142"/>
      <c r="L25" s="142"/>
      <c r="M25" s="142"/>
      <c r="N25" s="142"/>
    </row>
    <row r="26" ht="24.0" customHeight="1">
      <c r="C26" s="146" t="str">
        <f>IFERROR(__xludf.DUMMYFUNCTION("""COMPUTED_VALUE""")," VT ArcStrafe Intermediate")</f>
        <v> VT ArcStrafe Intermediate</v>
      </c>
      <c r="D26" s="141" t="str">
        <f t="shared" si="2"/>
        <v/>
      </c>
      <c r="E26" s="142"/>
      <c r="F26" s="142"/>
      <c r="G26" s="142"/>
      <c r="H26" s="142"/>
      <c r="I26" s="142"/>
      <c r="J26" s="142"/>
      <c r="K26" s="142"/>
      <c r="L26" s="142"/>
      <c r="M26" s="142"/>
      <c r="N26" s="142"/>
    </row>
    <row r="27" ht="24.0" customHeight="1">
      <c r="A27" s="147" t="s">
        <v>39</v>
      </c>
      <c r="B27" s="148" t="s">
        <v>40</v>
      </c>
      <c r="C27" s="149" t="str">
        <f>IFERROR(__xludf.DUMMYFUNCTION("""COMPUTED_VALUE""")," VT Smoothbot Intermediate")</f>
        <v> VT Smoothbot Intermediate</v>
      </c>
      <c r="D27" s="141" t="str">
        <f t="shared" si="2"/>
        <v/>
      </c>
      <c r="E27" s="142"/>
      <c r="F27" s="142"/>
      <c r="G27" s="142"/>
      <c r="H27" s="142"/>
      <c r="I27" s="142"/>
      <c r="J27" s="142"/>
      <c r="K27" s="142"/>
      <c r="L27" s="142"/>
      <c r="M27" s="142"/>
      <c r="N27" s="142"/>
    </row>
    <row r="28" ht="24.0" customHeight="1">
      <c r="C28" s="149" t="str">
        <f>IFERROR(__xludf.DUMMYFUNCTION("""COMPUTED_VALUE""")," VT PreciseOrb Intermediate")</f>
        <v> VT PreciseOrb Intermediate</v>
      </c>
      <c r="D28" s="141" t="str">
        <f t="shared" si="2"/>
        <v/>
      </c>
      <c r="E28" s="142"/>
      <c r="F28" s="142"/>
      <c r="G28" s="142"/>
      <c r="H28" s="142"/>
      <c r="I28" s="142"/>
      <c r="J28" s="142"/>
      <c r="K28" s="142"/>
      <c r="L28" s="142"/>
      <c r="M28" s="142"/>
      <c r="N28" s="142"/>
    </row>
    <row r="29" ht="24.0" customHeight="1">
      <c r="B29" s="150" t="s">
        <v>42</v>
      </c>
      <c r="C29" s="151" t="str">
        <f>IFERROR(__xludf.DUMMYFUNCTION("""COMPUTED_VALUE""")," VT Plaza Intermediate")</f>
        <v> VT Plaza Intermediate</v>
      </c>
      <c r="D29" s="141" t="str">
        <f t="shared" si="2"/>
        <v/>
      </c>
      <c r="E29" s="142"/>
      <c r="F29" s="142"/>
      <c r="G29" s="142"/>
      <c r="H29" s="142"/>
      <c r="I29" s="142"/>
      <c r="J29" s="142"/>
      <c r="K29" s="142"/>
      <c r="L29" s="142"/>
      <c r="M29" s="142"/>
      <c r="N29" s="142"/>
    </row>
    <row r="30" ht="24.0" customHeight="1">
      <c r="C30" s="151" t="str">
        <f>IFERROR(__xludf.DUMMYFUNCTION("""COMPUTED_VALUE""")," VT Air Intermediate")</f>
        <v> VT Air Intermediate</v>
      </c>
      <c r="D30" s="141" t="str">
        <f t="shared" si="2"/>
        <v/>
      </c>
      <c r="E30" s="142"/>
      <c r="F30" s="142"/>
      <c r="G30" s="142"/>
      <c r="H30" s="142"/>
      <c r="I30" s="142"/>
      <c r="J30" s="142"/>
      <c r="K30" s="142"/>
      <c r="L30" s="142"/>
      <c r="M30" s="142"/>
      <c r="N30" s="142"/>
    </row>
    <row r="31" ht="24.0" customHeight="1">
      <c r="B31" s="145" t="s">
        <v>61</v>
      </c>
      <c r="C31" s="146" t="str">
        <f>IFERROR(__xludf.DUMMYFUNCTION("""COMPUTED_VALUE""")," VT PatStrafe Intermediate")</f>
        <v> VT PatStrafe Intermediate</v>
      </c>
      <c r="D31" s="141" t="str">
        <f t="shared" si="2"/>
        <v/>
      </c>
      <c r="E31" s="142"/>
      <c r="F31" s="142"/>
      <c r="G31" s="142"/>
      <c r="H31" s="142"/>
      <c r="I31" s="142"/>
      <c r="J31" s="142"/>
      <c r="K31" s="142"/>
      <c r="L31" s="142"/>
      <c r="M31" s="142"/>
      <c r="N31" s="142"/>
    </row>
    <row r="32" ht="24.0" customHeight="1">
      <c r="C32" s="146" t="str">
        <f>IFERROR(__xludf.DUMMYFUNCTION("""COMPUTED_VALUE""")," VT AirStrafe Intermediate")</f>
        <v> VT AirStrafe Intermediate</v>
      </c>
      <c r="D32" s="141" t="str">
        <f t="shared" si="2"/>
        <v/>
      </c>
      <c r="E32" s="142"/>
      <c r="F32" s="142"/>
      <c r="G32" s="142"/>
      <c r="H32" s="142"/>
      <c r="I32" s="142"/>
      <c r="J32" s="142"/>
      <c r="K32" s="142"/>
      <c r="L32" s="142"/>
      <c r="M32" s="142"/>
      <c r="N32" s="142"/>
    </row>
    <row r="33" ht="24.0" customHeight="1">
      <c r="A33" s="152" t="s">
        <v>44</v>
      </c>
      <c r="B33" s="153" t="s">
        <v>45</v>
      </c>
      <c r="C33" s="154" t="str">
        <f>IFERROR(__xludf.DUMMYFUNCTION("""COMPUTED_VALUE""")," VT psalmTS Intermediate")</f>
        <v> VT psalmTS Intermediate</v>
      </c>
      <c r="D33" s="141" t="str">
        <f t="shared" si="2"/>
        <v/>
      </c>
      <c r="E33" s="142"/>
      <c r="F33" s="142"/>
      <c r="G33" s="142"/>
      <c r="H33" s="142"/>
      <c r="I33" s="142"/>
      <c r="J33" s="142"/>
      <c r="K33" s="142"/>
      <c r="L33" s="142"/>
      <c r="M33" s="142"/>
      <c r="N33" s="142"/>
    </row>
    <row r="34" ht="24.0" customHeight="1">
      <c r="C34" s="158" t="str">
        <f>IFERROR(__xludf.DUMMYFUNCTION("""COMPUTED_VALUE""")," VT skyTS Intermediate")</f>
        <v> VT skyTS Intermediate</v>
      </c>
      <c r="D34" s="141" t="str">
        <f t="shared" si="2"/>
        <v/>
      </c>
      <c r="E34" s="142"/>
      <c r="F34" s="142"/>
      <c r="G34" s="142"/>
      <c r="H34" s="142"/>
      <c r="I34" s="142"/>
      <c r="J34" s="142"/>
      <c r="K34" s="142"/>
      <c r="L34" s="142"/>
      <c r="M34" s="142"/>
      <c r="N34" s="142"/>
    </row>
    <row r="35" ht="24.0" customHeight="1">
      <c r="B35" s="155" t="s">
        <v>47</v>
      </c>
      <c r="C35" s="156" t="str">
        <f>IFERROR(__xludf.DUMMYFUNCTION("""COMPUTED_VALUE""")," VT evaTS Intermediate")</f>
        <v> VT evaTS Intermediate</v>
      </c>
      <c r="D35" s="141" t="str">
        <f t="shared" si="2"/>
        <v/>
      </c>
      <c r="E35" s="142"/>
      <c r="F35" s="142"/>
      <c r="G35" s="142"/>
      <c r="H35" s="142"/>
      <c r="I35" s="142"/>
      <c r="J35" s="142"/>
      <c r="K35" s="142"/>
      <c r="L35" s="142"/>
      <c r="M35" s="142"/>
      <c r="N35" s="142"/>
    </row>
    <row r="36" ht="24.0" customHeight="1">
      <c r="C36" s="156" t="str">
        <f>IFERROR(__xludf.DUMMYFUNCTION("""COMPUTED_VALUE""")," VT bounceTS Intermediate")</f>
        <v> VT bounceTS Intermediate</v>
      </c>
      <c r="D36" s="141" t="str">
        <f t="shared" si="2"/>
        <v/>
      </c>
      <c r="E36" s="142"/>
      <c r="F36" s="142"/>
      <c r="G36" s="142"/>
      <c r="H36" s="142"/>
      <c r="I36" s="142"/>
      <c r="J36" s="142"/>
      <c r="K36" s="142"/>
      <c r="L36" s="142"/>
      <c r="M36" s="142"/>
      <c r="N36" s="142"/>
    </row>
    <row r="37" ht="25.5" customHeight="1">
      <c r="A37" s="136" t="s">
        <v>73</v>
      </c>
    </row>
    <row r="38" ht="21.75" customHeight="1">
      <c r="A38" s="157" t="s">
        <v>87</v>
      </c>
      <c r="D38" s="27" t="s">
        <v>75</v>
      </c>
      <c r="E38" s="27" t="s">
        <v>76</v>
      </c>
      <c r="F38" s="27" t="s">
        <v>77</v>
      </c>
      <c r="G38" s="27" t="s">
        <v>78</v>
      </c>
      <c r="H38" s="27" t="s">
        <v>79</v>
      </c>
      <c r="I38" s="27" t="s">
        <v>80</v>
      </c>
      <c r="J38" s="27" t="s">
        <v>81</v>
      </c>
      <c r="K38" s="27" t="s">
        <v>82</v>
      </c>
      <c r="L38" s="27" t="s">
        <v>83</v>
      </c>
      <c r="M38" s="27" t="s">
        <v>84</v>
      </c>
      <c r="N38" s="27" t="s">
        <v>85</v>
      </c>
    </row>
    <row r="39" ht="21.75" customHeight="1">
      <c r="A39" s="138" t="s">
        <v>34</v>
      </c>
      <c r="B39" s="139" t="s">
        <v>35</v>
      </c>
      <c r="C39" s="140" t="str">
        <f>IFERROR(__xludf.DUMMYFUNCTION("importrange(""https://docs.google.com/spreadsheets/d/10ck-sXoSgAYeiVI9iaaWwSqxC7KoxNO-2AtO08C-eCw/"", ""Benchmarks!C5:C18"")")," VT Pasu Rasp Novice")</f>
        <v> VT Pasu Rasp Novice</v>
      </c>
      <c r="D39" s="141" t="str">
        <f t="shared" ref="D39:D50" si="3">IFERROR(AVERAGE(E39:N39), )</f>
        <v/>
      </c>
      <c r="E39" s="142"/>
      <c r="F39" s="142"/>
      <c r="G39" s="142"/>
      <c r="H39" s="142"/>
      <c r="I39" s="142"/>
      <c r="J39" s="142"/>
      <c r="K39" s="142"/>
      <c r="L39" s="142"/>
      <c r="M39" s="142"/>
      <c r="N39" s="142"/>
    </row>
    <row r="40" ht="21.75" customHeight="1">
      <c r="C40" s="140" t="str">
        <f>IFERROR(__xludf.DUMMYFUNCTION("""COMPUTED_VALUE""")," VT Bounceshot Novice")</f>
        <v> VT Bounceshot Novice</v>
      </c>
      <c r="D40" s="141" t="str">
        <f t="shared" si="3"/>
        <v/>
      </c>
      <c r="E40" s="142"/>
      <c r="F40" s="142"/>
      <c r="G40" s="142"/>
      <c r="H40" s="142"/>
      <c r="I40" s="142"/>
      <c r="J40" s="142"/>
      <c r="K40" s="142"/>
      <c r="L40" s="142"/>
      <c r="M40" s="142"/>
      <c r="N40" s="142"/>
    </row>
    <row r="41" ht="21.75" customHeight="1">
      <c r="B41" s="143" t="s">
        <v>37</v>
      </c>
      <c r="C41" s="144" t="str">
        <f>IFERROR(__xludf.DUMMYFUNCTION("""COMPUTED_VALUE""")," VT 1w6ts Rasp Novice")</f>
        <v> VT 1w6ts Rasp Novice</v>
      </c>
      <c r="D41" s="141" t="str">
        <f t="shared" si="3"/>
        <v/>
      </c>
      <c r="E41" s="142"/>
      <c r="F41" s="142"/>
      <c r="G41" s="142"/>
      <c r="H41" s="142"/>
      <c r="I41" s="142"/>
      <c r="J41" s="142"/>
      <c r="K41" s="142"/>
      <c r="L41" s="142"/>
      <c r="M41" s="142"/>
      <c r="N41" s="142"/>
    </row>
    <row r="42" ht="21.75" customHeight="1">
      <c r="C42" s="144" t="str">
        <f>IFERROR(__xludf.DUMMYFUNCTION("""COMPUTED_VALUE""")," VT Multiclick 120 Novice")</f>
        <v> VT Multiclick 120 Novice</v>
      </c>
      <c r="D42" s="141" t="str">
        <f t="shared" si="3"/>
        <v/>
      </c>
      <c r="E42" s="142"/>
      <c r="F42" s="142"/>
      <c r="G42" s="142"/>
      <c r="H42" s="142"/>
      <c r="I42" s="142"/>
      <c r="J42" s="142"/>
      <c r="K42" s="142"/>
      <c r="L42" s="142"/>
      <c r="M42" s="142"/>
      <c r="N42" s="142"/>
    </row>
    <row r="43" ht="21.75" customHeight="1">
      <c r="A43" s="147" t="s">
        <v>39</v>
      </c>
      <c r="B43" s="148" t="s">
        <v>40</v>
      </c>
      <c r="C43" s="149" t="str">
        <f>IFERROR(__xludf.DUMMYFUNCTION("""COMPUTED_VALUE""")," VT Smoothbot Novice")</f>
        <v> VT Smoothbot Novice</v>
      </c>
      <c r="D43" s="141" t="str">
        <f t="shared" si="3"/>
        <v/>
      </c>
      <c r="E43" s="142"/>
      <c r="F43" s="142"/>
      <c r="G43" s="142"/>
      <c r="H43" s="142"/>
      <c r="I43" s="142"/>
      <c r="J43" s="142"/>
      <c r="K43" s="142"/>
      <c r="L43" s="142"/>
      <c r="M43" s="142"/>
      <c r="N43" s="142"/>
    </row>
    <row r="44" ht="21.75" customHeight="1">
      <c r="C44" s="149" t="str">
        <f>IFERROR(__xludf.DUMMYFUNCTION("""COMPUTED_VALUE""")," VT PreciseOrb Novice")</f>
        <v> VT PreciseOrb Novice</v>
      </c>
      <c r="D44" s="141" t="str">
        <f t="shared" si="3"/>
        <v/>
      </c>
      <c r="E44" s="142"/>
      <c r="F44" s="142"/>
      <c r="G44" s="142"/>
      <c r="H44" s="142"/>
      <c r="I44" s="142"/>
      <c r="J44" s="142"/>
      <c r="K44" s="142"/>
      <c r="L44" s="142"/>
      <c r="M44" s="142"/>
      <c r="N44" s="142"/>
    </row>
    <row r="45" ht="21.75" customHeight="1">
      <c r="B45" s="150" t="s">
        <v>42</v>
      </c>
      <c r="C45" s="151" t="str">
        <f>IFERROR(__xludf.DUMMYFUNCTION("""COMPUTED_VALUE""")," VT Plaza Novice")</f>
        <v> VT Plaza Novice</v>
      </c>
      <c r="D45" s="141" t="str">
        <f t="shared" si="3"/>
        <v/>
      </c>
      <c r="E45" s="142"/>
      <c r="F45" s="142"/>
      <c r="G45" s="142"/>
      <c r="H45" s="142"/>
      <c r="I45" s="142"/>
      <c r="J45" s="142"/>
      <c r="K45" s="142"/>
      <c r="L45" s="142"/>
      <c r="M45" s="142"/>
      <c r="N45" s="142"/>
    </row>
    <row r="46" ht="21.75" customHeight="1">
      <c r="C46" s="151" t="str">
        <f>IFERROR(__xludf.DUMMYFUNCTION("""COMPUTED_VALUE""")," VT Air Novice")</f>
        <v> VT Air Novice</v>
      </c>
      <c r="D46" s="141" t="str">
        <f t="shared" si="3"/>
        <v/>
      </c>
      <c r="E46" s="142"/>
      <c r="F46" s="142"/>
      <c r="G46" s="142"/>
      <c r="H46" s="142"/>
      <c r="I46" s="142"/>
      <c r="J46" s="142"/>
      <c r="K46" s="142"/>
      <c r="L46" s="142"/>
      <c r="M46" s="142"/>
      <c r="N46" s="142"/>
    </row>
    <row r="47" ht="21.75" customHeight="1">
      <c r="A47" s="152" t="s">
        <v>44</v>
      </c>
      <c r="B47" s="153" t="s">
        <v>45</v>
      </c>
      <c r="C47" s="154" t="str">
        <f>IFERROR(__xludf.DUMMYFUNCTION("""COMPUTED_VALUE""")," VT psalmTS Novice")</f>
        <v> VT psalmTS Novice</v>
      </c>
      <c r="D47" s="141" t="str">
        <f t="shared" si="3"/>
        <v/>
      </c>
      <c r="E47" s="142"/>
      <c r="F47" s="142"/>
      <c r="G47" s="142"/>
      <c r="H47" s="142"/>
      <c r="I47" s="142"/>
      <c r="J47" s="142"/>
      <c r="K47" s="142"/>
      <c r="L47" s="142"/>
      <c r="M47" s="142"/>
      <c r="N47" s="142"/>
    </row>
    <row r="48" ht="21.75" customHeight="1">
      <c r="C48" s="154" t="str">
        <f>IFERROR(__xludf.DUMMYFUNCTION("""COMPUTED_VALUE""")," VT skyTS Novice")</f>
        <v> VT skyTS Novice</v>
      </c>
      <c r="D48" s="141" t="str">
        <f t="shared" si="3"/>
        <v/>
      </c>
      <c r="E48" s="142"/>
      <c r="F48" s="142"/>
      <c r="G48" s="142"/>
      <c r="H48" s="142"/>
      <c r="I48" s="142"/>
      <c r="J48" s="142"/>
      <c r="K48" s="142"/>
      <c r="L48" s="142"/>
      <c r="M48" s="142"/>
      <c r="N48" s="142"/>
    </row>
    <row r="49" ht="21.75" customHeight="1">
      <c r="B49" s="155" t="s">
        <v>47</v>
      </c>
      <c r="C49" s="156" t="str">
        <f>IFERROR(__xludf.DUMMYFUNCTION("""COMPUTED_VALUE""")," VT evaTS Novice")</f>
        <v> VT evaTS Novice</v>
      </c>
      <c r="D49" s="141" t="str">
        <f t="shared" si="3"/>
        <v/>
      </c>
      <c r="E49" s="142"/>
      <c r="F49" s="142"/>
      <c r="G49" s="142"/>
      <c r="H49" s="142"/>
      <c r="I49" s="142"/>
      <c r="J49" s="142"/>
      <c r="K49" s="142"/>
      <c r="L49" s="142"/>
      <c r="M49" s="142"/>
      <c r="N49" s="142"/>
    </row>
    <row r="50" ht="21.75" customHeight="1">
      <c r="C50" s="156" t="str">
        <f>IFERROR(__xludf.DUMMYFUNCTION("""COMPUTED_VALUE""")," VT bounceTS Novice")</f>
        <v> VT bounceTS Novice</v>
      </c>
      <c r="D50" s="141" t="str">
        <f t="shared" si="3"/>
        <v/>
      </c>
      <c r="E50" s="142"/>
      <c r="F50" s="142"/>
      <c r="G50" s="142"/>
      <c r="H50" s="142"/>
      <c r="I50" s="142"/>
      <c r="J50" s="142"/>
      <c r="K50" s="142"/>
      <c r="L50" s="142"/>
      <c r="M50" s="142"/>
      <c r="N50" s="142"/>
    </row>
  </sheetData>
  <mergeCells count="37">
    <mergeCell ref="B13:B14"/>
    <mergeCell ref="A19:N19"/>
    <mergeCell ref="A20:C20"/>
    <mergeCell ref="A1:N1"/>
    <mergeCell ref="A2:C2"/>
    <mergeCell ref="A3:A8"/>
    <mergeCell ref="B3:B4"/>
    <mergeCell ref="B5:B6"/>
    <mergeCell ref="B7:B8"/>
    <mergeCell ref="A9:A14"/>
    <mergeCell ref="B23:B24"/>
    <mergeCell ref="B25:B26"/>
    <mergeCell ref="B9:B10"/>
    <mergeCell ref="B11:B12"/>
    <mergeCell ref="A15:A18"/>
    <mergeCell ref="B15:B16"/>
    <mergeCell ref="B17:B18"/>
    <mergeCell ref="A21:A26"/>
    <mergeCell ref="B21:B22"/>
    <mergeCell ref="A27:A32"/>
    <mergeCell ref="B27:B28"/>
    <mergeCell ref="B29:B30"/>
    <mergeCell ref="B31:B32"/>
    <mergeCell ref="A33:A36"/>
    <mergeCell ref="B33:B34"/>
    <mergeCell ref="A37:N37"/>
    <mergeCell ref="A43:A46"/>
    <mergeCell ref="A47:A50"/>
    <mergeCell ref="B47:B48"/>
    <mergeCell ref="B49:B50"/>
    <mergeCell ref="B35:B36"/>
    <mergeCell ref="A38:C38"/>
    <mergeCell ref="A39:A42"/>
    <mergeCell ref="B39:B40"/>
    <mergeCell ref="B41:B42"/>
    <mergeCell ref="B43:B44"/>
    <mergeCell ref="B45:B4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51AA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0.0"/>
  </cols>
  <sheetData>
    <row r="1">
      <c r="A1" s="159" t="s">
        <v>88</v>
      </c>
      <c r="B1" s="159" t="s">
        <v>89</v>
      </c>
      <c r="C1" s="159" t="s">
        <v>90</v>
      </c>
    </row>
    <row r="2">
      <c r="A2" s="160" t="s">
        <v>91</v>
      </c>
      <c r="B2" s="161">
        <v>44965.0</v>
      </c>
      <c r="C2" s="160" t="s">
        <v>92</v>
      </c>
    </row>
    <row r="3">
      <c r="A3" s="160" t="s">
        <v>93</v>
      </c>
      <c r="B3" s="161">
        <v>44846.0</v>
      </c>
      <c r="C3" s="160" t="s">
        <v>94</v>
      </c>
    </row>
    <row r="4">
      <c r="A4" s="160" t="s">
        <v>95</v>
      </c>
      <c r="B4" s="161">
        <v>44825.0</v>
      </c>
      <c r="C4" s="160" t="s">
        <v>96</v>
      </c>
    </row>
    <row r="5">
      <c r="A5" s="160" t="s">
        <v>97</v>
      </c>
      <c r="B5" s="161">
        <v>44820.0</v>
      </c>
      <c r="C5" s="160" t="s">
        <v>98</v>
      </c>
    </row>
    <row r="6">
      <c r="A6" s="160" t="s">
        <v>99</v>
      </c>
      <c r="B6" s="161">
        <v>44820.0</v>
      </c>
      <c r="C6" s="160" t="s">
        <v>100</v>
      </c>
    </row>
    <row r="7">
      <c r="A7" s="160" t="s">
        <v>101</v>
      </c>
      <c r="B7" s="161">
        <v>44806.0</v>
      </c>
      <c r="C7" s="160" t="s">
        <v>102</v>
      </c>
    </row>
    <row r="8">
      <c r="A8" s="160" t="s">
        <v>103</v>
      </c>
      <c r="B8" s="161">
        <v>44715.0</v>
      </c>
      <c r="C8" s="160" t="s">
        <v>104</v>
      </c>
    </row>
    <row r="9">
      <c r="A9" s="160" t="s">
        <v>105</v>
      </c>
      <c r="B9" s="161">
        <v>44700.0</v>
      </c>
      <c r="C9" s="160" t="s">
        <v>106</v>
      </c>
    </row>
    <row r="10">
      <c r="A10" s="160" t="s">
        <v>107</v>
      </c>
      <c r="B10" s="161">
        <v>44691.0</v>
      </c>
      <c r="C10" s="160" t="s">
        <v>108</v>
      </c>
    </row>
    <row r="11">
      <c r="A11" s="160" t="s">
        <v>109</v>
      </c>
      <c r="B11" s="161">
        <v>44682.0</v>
      </c>
      <c r="C11" s="160" t="s">
        <v>110</v>
      </c>
    </row>
  </sheetData>
  <drawing r:id="rId1"/>
</worksheet>
</file>